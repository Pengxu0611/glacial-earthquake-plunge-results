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lbertshi/Documents/Codex/2026-09-20/ba/outputs/"/>
    </mc:Choice>
  </mc:AlternateContent>
  <xr:revisionPtr revIDLastSave="0" documentId="13_ncr:1_{63553B43-E9BB-AD4D-AE55-B5E270034B94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Summary" sheetId="1" r:id="rId1"/>
    <sheet name="Waveform RMS" sheetId="2" r:id="rId2"/>
    <sheet name="LOO Robustness" sheetId="3" r:id="rId3"/>
    <sheet name="Station QC" sheetId="4" r:id="rId4"/>
    <sheet name="Workflow" sheetId="5" r:id="rId5"/>
    <sheet name="Run Statu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2" l="1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4" i="2"/>
  <c r="L4" i="2"/>
  <c r="M3" i="2"/>
  <c r="L3" i="2"/>
  <c r="M2" i="2"/>
  <c r="L2" i="2"/>
  <c r="L8" i="1"/>
  <c r="J8" i="1"/>
  <c r="K8" i="1" s="1"/>
  <c r="I8" i="1"/>
  <c r="H8" i="1"/>
  <c r="E8" i="1"/>
  <c r="L7" i="1"/>
  <c r="J7" i="1"/>
  <c r="K7" i="1" s="1"/>
  <c r="I7" i="1"/>
  <c r="H7" i="1"/>
  <c r="E7" i="1"/>
  <c r="L6" i="1"/>
  <c r="J6" i="1"/>
  <c r="K6" i="1" s="1"/>
  <c r="I6" i="1"/>
  <c r="H6" i="1"/>
  <c r="E6" i="1"/>
  <c r="L5" i="1"/>
  <c r="J5" i="1"/>
  <c r="I5" i="1"/>
  <c r="K5" i="1" s="1"/>
  <c r="H5" i="1"/>
  <c r="E5" i="1"/>
</calcChain>
</file>

<file path=xl/sharedStrings.xml><?xml version="1.0" encoding="utf-8"?>
<sst xmlns="http://schemas.openxmlformats.org/spreadsheetml/2006/main" count="443" uniqueCount="163">
  <si>
    <t>Four-event preferred-plunge sensitivity results</t>
  </si>
  <si>
    <t>Z component only · 50–150 s · three equal-weight distance bins · normalized RMS is a secondary waveform-fit diagnostic</t>
  </si>
  <si>
    <t>Event</t>
  </si>
  <si>
    <t>Event name</t>
  </si>
  <si>
    <t>Catalogue plunge (°)</t>
  </si>
  <si>
    <t>Preferred plunge (°)</t>
  </si>
  <si>
    <t>Change (°)</t>
  </si>
  <si>
    <t>Catalogue joint CC</t>
  </si>
  <si>
    <t>Preferred joint CC</t>
  </si>
  <si>
    <t>CC improvement</t>
  </si>
  <si>
    <t>Catalogue mean normalized RMS</t>
  </si>
  <si>
    <t>Preferred mean normalized RMS</t>
  </si>
  <si>
    <t>RMS change</t>
  </si>
  <si>
    <t>LOO plunge range (°)</t>
  </si>
  <si>
    <t>S201101210832A</t>
  </si>
  <si>
    <t>S201106261031A</t>
  </si>
  <si>
    <t>S201108181231A</t>
  </si>
  <si>
    <t>S201112211540A</t>
  </si>
  <si>
    <t>Catalogue plunge</t>
  </si>
  <si>
    <t>Preferred plunge</t>
  </si>
  <si>
    <t>Catalogue CC</t>
  </si>
  <si>
    <t>Preferred CC</t>
  </si>
  <si>
    <t>Station</t>
  </si>
  <si>
    <t>Distance bin</t>
  </si>
  <si>
    <t>Component</t>
  </si>
  <si>
    <t>Catalogue normalized RMS</t>
  </si>
  <si>
    <t>Preferred normalized RMS</t>
  </si>
  <si>
    <t>RMS change (preferred − catalogue)</t>
  </si>
  <si>
    <t>RMS improved?</t>
  </si>
  <si>
    <t>DK.NRS</t>
  </si>
  <si>
    <t>3_12_deg</t>
  </si>
  <si>
    <t>Z</t>
  </si>
  <si>
    <t>DK.SCO</t>
  </si>
  <si>
    <t>CN.ILON</t>
  </si>
  <si>
    <t>IU.KEV.00</t>
  </si>
  <si>
    <t>20_30_deg</t>
  </si>
  <si>
    <t>GE.TIRR</t>
  </si>
  <si>
    <t>40_50_deg</t>
  </si>
  <si>
    <t>TA.X30A</t>
  </si>
  <si>
    <t>DK.TULEG</t>
  </si>
  <si>
    <t>GE.SUMG</t>
  </si>
  <si>
    <t>II.ESK.00</t>
  </si>
  <si>
    <t>XB.PM29</t>
  </si>
  <si>
    <t>TA.136A</t>
  </si>
  <si>
    <t>DK.SOEG</t>
  </si>
  <si>
    <t>R</t>
  </si>
  <si>
    <t>T</t>
  </si>
  <si>
    <t>DK.ANGG</t>
  </si>
  <si>
    <t>DK.NUUK</t>
  </si>
  <si>
    <t>GB.EDI</t>
  </si>
  <si>
    <t>TA.342A</t>
  </si>
  <si>
    <t>MN.VTS</t>
  </si>
  <si>
    <t>DK.ICESG</t>
  </si>
  <si>
    <t>Omitted station</t>
  </si>
  <si>
    <t>Stations retained</t>
  </si>
  <si>
    <t>Bins retained</t>
  </si>
  <si>
    <t>Maximum joint CC</t>
  </si>
  <si>
    <t>Status</t>
  </si>
  <si>
    <t>computed</t>
  </si>
  <si>
    <t>not computable: a distance bin is empty</t>
  </si>
  <si>
    <t>Bin</t>
  </si>
  <si>
    <t>Network</t>
  </si>
  <si>
    <t>Location</t>
  </si>
  <si>
    <t>Channel</t>
  </si>
  <si>
    <t>Distance (°)</t>
  </si>
  <si>
    <t>Azimuth (°)</t>
  </si>
  <si>
    <t>Radiation energy fraction</t>
  </si>
  <si>
    <t>Coverage Z</t>
  </si>
  <si>
    <t>SNR Z</t>
  </si>
  <si>
    <t>MUSTANG available</t>
  </si>
  <si>
    <t>Noise PSD (dB)</t>
  </si>
  <si>
    <t>Δ from quietest (dB)</t>
  </si>
  <si>
    <t>Selected</t>
  </si>
  <si>
    <t>Components used</t>
  </si>
  <si>
    <t>DK</t>
  </si>
  <si>
    <t>NRS</t>
  </si>
  <si>
    <t>BHZ</t>
  </si>
  <si>
    <t>SCO</t>
  </si>
  <si>
    <t>CN</t>
  </si>
  <si>
    <t>ILON</t>
  </si>
  <si>
    <t>IU</t>
  </si>
  <si>
    <t>KEV</t>
  </si>
  <si>
    <t>00</t>
  </si>
  <si>
    <t>GE</t>
  </si>
  <si>
    <t>TIRR</t>
  </si>
  <si>
    <t>TA</t>
  </si>
  <si>
    <t>X30A</t>
  </si>
  <si>
    <t>TULEG</t>
  </si>
  <si>
    <t>SUMG</t>
  </si>
  <si>
    <t>II</t>
  </si>
  <si>
    <t>ESK</t>
  </si>
  <si>
    <t>XB</t>
  </si>
  <si>
    <t>PM29</t>
  </si>
  <si>
    <t>136A</t>
  </si>
  <si>
    <t>SOEG</t>
  </si>
  <si>
    <t>Z,R,T</t>
  </si>
  <si>
    <t>ANGG</t>
  </si>
  <si>
    <t>Z,T</t>
  </si>
  <si>
    <t>NUUK</t>
  </si>
  <si>
    <t>GB</t>
  </si>
  <si>
    <t>EDI</t>
  </si>
  <si>
    <t>342A</t>
  </si>
  <si>
    <t>MN</t>
  </si>
  <si>
    <t>VTS</t>
  </si>
  <si>
    <t>ICESG</t>
  </si>
  <si>
    <t>Workflow, current scope, and recommended next steps</t>
  </si>
  <si>
    <t>Stage</t>
  </si>
  <si>
    <t>Current choice</t>
  </si>
  <si>
    <t>Why / note</t>
  </si>
  <si>
    <t>Components</t>
  </si>
  <si>
    <t>Z only</t>
  </si>
  <si>
    <t>Keeps the first validation round interpretable.</t>
  </si>
  <si>
    <t>Frequency band</t>
  </si>
  <si>
    <t>1/150–1/50 Hz (50–150 s)</t>
  </si>
  <si>
    <t>Held fixed for these four events.</t>
  </si>
  <si>
    <t>Near-distance stations</t>
  </si>
  <si>
    <t>3–12°, minimum 3 stations</t>
  </si>
  <si>
    <t>Prioritizes stronger nearby signals.</t>
  </si>
  <si>
    <t>Far-distance bins</t>
  </si>
  <si>
    <t>20–30° and 40–50°</t>
  </si>
  <si>
    <t>Kept unchanged for continuity.</t>
  </si>
  <si>
    <t>Data coverage</t>
  </si>
  <si>
    <t>≥ 0.95</t>
  </si>
  <si>
    <t>Station-selection filter.</t>
  </si>
  <si>
    <t>SNR</t>
  </si>
  <si>
    <t>Z-component SNR ≥ 2</t>
  </si>
  <si>
    <t>MUSTANG noise</t>
  </si>
  <si>
    <t>Within 15 dB of quietest station in bin</t>
  </si>
  <si>
    <t>Rejects unusually noisy candidates.</t>
  </si>
  <si>
    <t>Radiation pattern</t>
  </si>
  <si>
    <t>Catalogue-force energy ≥ 20% of maximum</t>
  </si>
  <si>
    <t>Avoids nodal/weak-energy station locations.</t>
  </si>
  <si>
    <t>Primary objective</t>
  </si>
  <si>
    <t>Zero-lag waveform CC</t>
  </si>
  <si>
    <t>Distance-bin means; bins weighted equally.</t>
  </si>
  <si>
    <t>Secondary diagnostic</t>
  </si>
  <si>
    <t>Normalized RMS</t>
  </si>
  <si>
    <t>Observed and synthetic traces normalized by their own RMS before residual calculation.</t>
  </si>
  <si>
    <t>Robustness</t>
  </si>
  <si>
    <t>Leave-one-station-out</t>
  </si>
  <si>
    <t>Tests whether a single station controls the preferred plunge.</t>
  </si>
  <si>
    <t>Priority</t>
  </si>
  <si>
    <t>Recommended next action</t>
  </si>
  <si>
    <t>Decision value</t>
  </si>
  <si>
    <t>Rerun Event 2 once Syngine access is stable.</t>
  </si>
  <si>
    <t>Completes the intended five-event pilot without changing methodology.</t>
  </si>
  <si>
    <t>For Events 1, 3, and 4, inspect which far-bin station drives the LOO changes; replace only if a comparably good station passes the same QC.</t>
  </si>
  <si>
    <t>Separates geometry/station dependence from a true plunge signal.</t>
  </si>
  <si>
    <t>Add an uncertainty interval from bootstrap resampling stations within each distance bin.</t>
  </si>
  <si>
    <t>Provides a reportable confidence range instead of only a best grid point.</t>
  </si>
  <si>
    <t>Repeat the four completed events with small time-window perturbations while keeping the frequency band fixed.</t>
  </si>
  <si>
    <t>Checks whether the result depends on one hand-picked window.</t>
  </si>
  <si>
    <t>After the pilot is stable, expand the event sample before interpreting population behavior.</t>
  </si>
  <si>
    <t>Four heterogeneous events are sufficient for workflow validation, not a general glacial-earthquake conclusion.</t>
  </si>
  <si>
    <t>event_index</t>
  </si>
  <si>
    <t>status</t>
  </si>
  <si>
    <t>event_name</t>
  </si>
  <si>
    <t>detail</t>
  </si>
  <si>
    <t>skipped</t>
  </si>
  <si>
    <t>S201107122101A</t>
  </si>
  <si>
    <t>Syngine SSL connection failed after configured retries while downloading GE.SUMG south basis; QC and partial caches retained</t>
  </si>
  <si>
    <t>completed</t>
  </si>
  <si>
    <t>complete tables plots executed notebook and log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</si>
</sst>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name val="Carlito"/>
    </font>
    <font>
      <sz val="10"/>
      <name val="Arial"/>
      <family val="2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b/>
      <sz val="14"/>
      <color rgb="FF1F1F1F"/>
      <name val="Arial"/>
      <family val="2"/>
    </font>
    <font>
      <i/>
      <sz val="10"/>
      <color rgb="FF1F1F1F"/>
      <name val="Arial"/>
      <family val="2"/>
    </font>
    <font>
      <sz val="9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3" fillId="0" borderId="1" xfId="0" applyNumberFormat="1" applyFont="1" applyBorder="1" applyAlignment="1">
      <alignment vertical="center"/>
    </xf>
    <xf numFmtId="0" fontId="6" fillId="0" borderId="0" xfId="0" applyFont="1"/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/>
              <a:t>Catalogue vs preferred plunge (°)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n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Catalogue plunge</c:v>
          </c:tx>
          <c:spPr>
            <a:gradFill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1"/>
          <c:cat>
            <c:numRef>
              <c:f>Summary!$A$11:$A$14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Summary!$B$11:$B$14</c:f>
              <c:numCache>
                <c:formatCode>General</c:formatCode>
                <c:ptCount val="4"/>
                <c:pt idx="0">
                  <c:v>-2.4969889650095638</c:v>
                </c:pt>
                <c:pt idx="1">
                  <c:v>12.515970884282702</c:v>
                </c:pt>
                <c:pt idx="2">
                  <c:v>-15.206501418599146</c:v>
                </c:pt>
                <c:pt idx="3">
                  <c:v>14.574216198038739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6-F346-9D2F-A6F7613855E7}"/>
            </c:ext>
          </c:extLst>
        </c:ser>
        <c:ser>
          <c:idx val="1"/>
          <c:order val="1"/>
          <c:tx>
            <c:v>Preferred plunge</c:v>
          </c:tx>
          <c:spPr>
            <a:gradFill>
              <a:gsLst>
                <a:gs pos="0">
                  <a:schemeClr val="accent2">
                    <a:tint val="94000"/>
                    <a:lumMod val="102000"/>
                    <a:satMod val="103000"/>
                  </a:schemeClr>
                </a:gs>
                <a:gs pos="50000">
                  <a:schemeClr val="accent2">
                    <a:shade val="100000"/>
                    <a:lumMod val="100000"/>
                    <a:satMod val="110000"/>
                  </a:schemeClr>
                </a:gs>
                <a:gs pos="100000">
                  <a:schemeClr val="accent2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1"/>
          <c:cat>
            <c:numRef>
              <c:f>Summary!$A$11:$A$14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Summary!$C$11:$C$14</c:f>
              <c:numCache>
                <c:formatCode>General</c:formatCode>
                <c:ptCount val="4"/>
                <c:pt idx="0">
                  <c:v>5</c:v>
                </c:pt>
                <c:pt idx="1">
                  <c:v>-45</c:v>
                </c:pt>
                <c:pt idx="2">
                  <c:v>50</c:v>
                </c:pt>
                <c:pt idx="3">
                  <c:v>-25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6-F346-9D2F-A6F761385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>
                <a:latin typeface="Arial"/>
                <a:ea typeface="Arial"/>
                <a:cs typeface="Arial"/>
              </a:rPr>
              <a:t>Joint cross-correlation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Catalogue CC</c:v>
          </c:tx>
          <c:invertIfNegative val="1"/>
          <c:cat>
            <c:numRef>
              <c:f>Summary!$A$11:$A$14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Summary!$D$11:$D$14</c:f>
              <c:numCache>
                <c:formatCode>General</c:formatCode>
                <c:ptCount val="4"/>
                <c:pt idx="0">
                  <c:v>0.4933310924062882</c:v>
                </c:pt>
                <c:pt idx="1">
                  <c:v>0.19466268145018209</c:v>
                </c:pt>
                <c:pt idx="2">
                  <c:v>0.11624495850201282</c:v>
                </c:pt>
                <c:pt idx="3">
                  <c:v>0.29274959905099146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5-FA49-BEDE-AA20AC8E7EA8}"/>
            </c:ext>
          </c:extLst>
        </c:ser>
        <c:ser>
          <c:idx val="1"/>
          <c:order val="1"/>
          <c:tx>
            <c:v>Preferred CC</c:v>
          </c:tx>
          <c:invertIfNegative val="1"/>
          <c:cat>
            <c:numRef>
              <c:f>Summary!$A$11:$A$14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Summary!$E$11:$E$14</c:f>
              <c:numCache>
                <c:formatCode>General</c:formatCode>
                <c:ptCount val="4"/>
                <c:pt idx="0">
                  <c:v>0.50889984546938682</c:v>
                </c:pt>
                <c:pt idx="1">
                  <c:v>0.52640940701995176</c:v>
                </c:pt>
                <c:pt idx="2">
                  <c:v>0.20381100085679704</c:v>
                </c:pt>
                <c:pt idx="3">
                  <c:v>0.37889960881342993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75-FA49-BEDE-AA20AC8E7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CN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en-CN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en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6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workbookViewId="0">
      <pane ySplit="4" topLeftCell="A5" activePane="bottomLeft" state="frozen"/>
      <selection pane="bottomLeft" activeCell="H10" sqref="H10"/>
    </sheetView>
  </sheetViews>
  <sheetFormatPr baseColWidth="10" defaultColWidth="8.83203125" defaultRowHeight="14"/>
  <cols>
    <col min="1" max="1" width="14" customWidth="1"/>
    <col min="2" max="2" width="19" customWidth="1"/>
    <col min="3" max="8" width="14" customWidth="1"/>
    <col min="9" max="11" width="20" customWidth="1"/>
    <col min="12" max="12" width="18" customWidth="1"/>
  </cols>
  <sheetData>
    <row r="1" spans="1:26" ht="22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2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0</v>
      </c>
      <c r="B5" s="3" t="s">
        <v>14</v>
      </c>
      <c r="C5" s="4">
        <v>-2.4969889650095638</v>
      </c>
      <c r="D5" s="4">
        <v>5</v>
      </c>
      <c r="E5" s="4">
        <f>D5-C5</f>
        <v>7.4969889650095638</v>
      </c>
      <c r="F5" s="4">
        <v>0.4933310924062882</v>
      </c>
      <c r="G5" s="4">
        <v>0.50889984546938682</v>
      </c>
      <c r="H5" s="4">
        <f>G5-F5</f>
        <v>1.5568753063098628E-2</v>
      </c>
      <c r="I5" s="4">
        <f>SUMIF('Waveform RMS'!$A$2:$A$30,A5,'Waveform RMS'!$H$2:$H$30)/COUNTIF('Waveform RMS'!$A$2:$A$30,A5)</f>
        <v>1.0062344877491289</v>
      </c>
      <c r="J5" s="4">
        <f>SUMIF('Waveform RMS'!$A$2:$A$30,A5,'Waveform RMS'!$K$2:$K$30)/COUNTIF('Waveform RMS'!$A$2:$A$30,A5)</f>
        <v>0.9763800553040477</v>
      </c>
      <c r="K5" s="4">
        <f>J5-I5</f>
        <v>-2.9854432445081236E-2</v>
      </c>
      <c r="L5" s="3" t="str">
        <f>MIN('LOO Robustness'!F2,'LOO Robustness'!F3,'LOO Robustness'!F4,'LOO Robustness'!F6,'LOO Robustness'!F7)&amp;" to "&amp;MAX('LOO Robustness'!F2,'LOO Robustness'!F3,'LOO Robustness'!F4,'LOO Robustness'!F6,'LOO Robustness'!F7)</f>
        <v>0 to 10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1</v>
      </c>
      <c r="B6" s="3" t="s">
        <v>15</v>
      </c>
      <c r="C6" s="4">
        <v>12.515970884282702</v>
      </c>
      <c r="D6" s="4">
        <v>-45</v>
      </c>
      <c r="E6" s="4">
        <f>D6-C6</f>
        <v>-57.515970884282702</v>
      </c>
      <c r="F6" s="4">
        <v>0.19466268145018209</v>
      </c>
      <c r="G6" s="4">
        <v>0.52640940701995176</v>
      </c>
      <c r="H6" s="4">
        <f>G6-F6</f>
        <v>0.3317467255697697</v>
      </c>
      <c r="I6" s="4">
        <f>SUMIF('Waveform RMS'!$A$2:$A$30,A6,'Waveform RMS'!$H$2:$H$30)/COUNTIF('Waveform RMS'!$A$2:$A$30,A6)</f>
        <v>1.1498396284730541</v>
      </c>
      <c r="J6" s="4">
        <f>SUMIF('Waveform RMS'!$A$2:$A$30,A6,'Waveform RMS'!$K$2:$K$30)/COUNTIF('Waveform RMS'!$A$2:$A$30,A6)</f>
        <v>0.94115314325027255</v>
      </c>
      <c r="K6" s="4">
        <f>J6-I6</f>
        <v>-0.20868648522278155</v>
      </c>
      <c r="L6" s="3" t="str">
        <f>MIN('LOO Robustness'!F8,'LOO Robustness'!F9,'LOO Robustness'!F10,'LOO Robustness'!F12,'LOO Robustness'!F13)&amp;" to "&amp;MAX('LOO Robustness'!F8,'LOO Robustness'!F9,'LOO Robustness'!F10,'LOO Robustness'!F12,'LOO Robustness'!F13)</f>
        <v>-55 to -20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3</v>
      </c>
      <c r="B7" s="3" t="s">
        <v>16</v>
      </c>
      <c r="C7" s="4">
        <v>-15.206501418599146</v>
      </c>
      <c r="D7" s="4">
        <v>50</v>
      </c>
      <c r="E7" s="4">
        <f>D7-C7</f>
        <v>65.206501418599146</v>
      </c>
      <c r="F7" s="4">
        <v>0.11624495850201282</v>
      </c>
      <c r="G7" s="4">
        <v>0.20381100085679704</v>
      </c>
      <c r="H7" s="4">
        <f>G7-F7</f>
        <v>8.7566042354784226E-2</v>
      </c>
      <c r="I7" s="4">
        <f>SUMIF('Waveform RMS'!$A$2:$A$30,A7,'Waveform RMS'!$H$2:$H$30)/COUNTIF('Waveform RMS'!$A$2:$A$30,A7)</f>
        <v>1.2792207751134315</v>
      </c>
      <c r="J7" s="4">
        <f>SUMIF('Waveform RMS'!$A$2:$A$30,A7,'Waveform RMS'!$K$2:$K$30)/COUNTIF('Waveform RMS'!$A$2:$A$30,A7)</f>
        <v>1.2321685980642756</v>
      </c>
      <c r="K7" s="4">
        <f>J7-I7</f>
        <v>-4.7052177049155874E-2</v>
      </c>
      <c r="L7" s="3" t="str">
        <f>MIN('LOO Robustness'!F14,'LOO Robustness'!F15,'LOO Robustness'!F16,'LOO Robustness'!F17,'LOO Robustness'!F18,'LOO Robustness'!F19,'LOO Robustness'!F20)&amp;" to "&amp;MAX('LOO Robustness'!F14,'LOO Robustness'!F15,'LOO Robustness'!F16,'LOO Robustness'!F17,'LOO Robustness'!F18,'LOO Robustness'!F19,'LOO Robustness'!F20)</f>
        <v>-5 to 75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4</v>
      </c>
      <c r="B8" s="3" t="s">
        <v>17</v>
      </c>
      <c r="C8" s="4">
        <v>14.574216198038739</v>
      </c>
      <c r="D8" s="4">
        <v>-25</v>
      </c>
      <c r="E8" s="4">
        <f>D8-C8</f>
        <v>-39.574216198038741</v>
      </c>
      <c r="F8" s="4">
        <v>0.29274959905099146</v>
      </c>
      <c r="G8" s="4">
        <v>0.37889960881342993</v>
      </c>
      <c r="H8" s="4">
        <f>G8-F8</f>
        <v>8.6150009762438473E-2</v>
      </c>
      <c r="I8" s="4">
        <f>SUMIF('Waveform RMS'!$A$2:$A$30,A8,'Waveform RMS'!$H$2:$H$30)/COUNTIF('Waveform RMS'!$A$2:$A$30,A8)</f>
        <v>0.979041064200741</v>
      </c>
      <c r="J8" s="4">
        <f>SUMIF('Waveform RMS'!$A$2:$A$30,A8,'Waveform RMS'!$K$2:$K$30)/COUNTIF('Waveform RMS'!$A$2:$A$30,A8)</f>
        <v>1.0750548040092225</v>
      </c>
      <c r="K8" s="4">
        <f>J8-I8</f>
        <v>9.6013739808481491E-2</v>
      </c>
      <c r="L8" s="3" t="str">
        <f>MIN('LOO Robustness'!F21,'LOO Robustness'!F22,'LOO Robustness'!F23,'LOO Robustness'!F25,'LOO Robustness'!F26)&amp;" to "&amp;MAX('LOO Robustness'!F21,'LOO Robustness'!F22,'LOO Robustness'!F23,'LOO Robustness'!F25,'LOO Robustness'!F26)</f>
        <v>-30 to -10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7" t="s">
        <v>2</v>
      </c>
      <c r="B10" s="7" t="s">
        <v>18</v>
      </c>
      <c r="C10" s="7" t="s">
        <v>19</v>
      </c>
      <c r="D10" s="7" t="s">
        <v>20</v>
      </c>
      <c r="E10" s="7" t="s">
        <v>21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7">
        <v>0</v>
      </c>
      <c r="B11" s="7">
        <v>-2.4969889650095638</v>
      </c>
      <c r="C11" s="7">
        <v>5</v>
      </c>
      <c r="D11" s="7">
        <v>0.4933310924062882</v>
      </c>
      <c r="E11" s="7">
        <v>0.50889984546938682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7">
        <v>1</v>
      </c>
      <c r="B12" s="7">
        <v>12.515970884282702</v>
      </c>
      <c r="C12" s="7">
        <v>-45</v>
      </c>
      <c r="D12" s="7">
        <v>0.19466268145018209</v>
      </c>
      <c r="E12" s="7">
        <v>0.52640940701995176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7">
        <v>3</v>
      </c>
      <c r="B13" s="7">
        <v>-15.206501418599146</v>
      </c>
      <c r="C13" s="7">
        <v>50</v>
      </c>
      <c r="D13" s="7">
        <v>0.11624495850201282</v>
      </c>
      <c r="E13" s="7">
        <v>0.20381100085679704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7">
        <v>4</v>
      </c>
      <c r="B14" s="7">
        <v>14.574216198038739</v>
      </c>
      <c r="C14" s="7">
        <v>-25</v>
      </c>
      <c r="D14" s="7">
        <v>0.29274959905099146</v>
      </c>
      <c r="E14" s="7">
        <v>0.37889960881342993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L1"/>
    <mergeCell ref="A2:L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4.5" customWidth="1"/>
    <col min="2" max="2" width="18" customWidth="1"/>
    <col min="3" max="3" width="7.83203125" customWidth="1"/>
    <col min="4" max="4" width="9.33203125" customWidth="1"/>
    <col min="5" max="5" width="8.83203125" customWidth="1"/>
    <col min="6" max="6" width="14.83203125" customWidth="1"/>
    <col min="7" max="7" width="10.1640625" customWidth="1"/>
    <col min="8" max="8" width="19.5" customWidth="1"/>
    <col min="9" max="9" width="14.33203125" customWidth="1"/>
    <col min="10" max="10" width="9.6640625" customWidth="1"/>
    <col min="11" max="12" width="19" customWidth="1"/>
    <col min="13" max="13" width="11.83203125" customWidth="1"/>
  </cols>
  <sheetData>
    <row r="1" spans="1:26" ht="32" customHeight="1">
      <c r="A1" s="2" t="s">
        <v>2</v>
      </c>
      <c r="B1" s="2" t="s">
        <v>3</v>
      </c>
      <c r="C1" s="2" t="s">
        <v>22</v>
      </c>
      <c r="D1" s="2" t="s">
        <v>23</v>
      </c>
      <c r="E1" s="2" t="s">
        <v>24</v>
      </c>
      <c r="F1" s="2" t="s">
        <v>4</v>
      </c>
      <c r="G1" s="2" t="s">
        <v>20</v>
      </c>
      <c r="H1" s="2" t="s">
        <v>25</v>
      </c>
      <c r="I1" s="2" t="s">
        <v>5</v>
      </c>
      <c r="J1" s="2" t="s">
        <v>21</v>
      </c>
      <c r="K1" s="2" t="s">
        <v>26</v>
      </c>
      <c r="L1" s="2" t="s">
        <v>27</v>
      </c>
      <c r="M1" s="2" t="s">
        <v>28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>
        <v>0</v>
      </c>
      <c r="B2" s="3" t="s">
        <v>14</v>
      </c>
      <c r="C2" s="3" t="s">
        <v>29</v>
      </c>
      <c r="D2" s="3" t="s">
        <v>30</v>
      </c>
      <c r="E2" s="3" t="s">
        <v>31</v>
      </c>
      <c r="F2" s="4">
        <v>-2.4969889650095638</v>
      </c>
      <c r="G2" s="4">
        <v>0.18814986424017704</v>
      </c>
      <c r="H2" s="4">
        <v>1.2690845510920996</v>
      </c>
      <c r="I2" s="4">
        <v>5</v>
      </c>
      <c r="J2" s="4">
        <v>0.4566357177163034</v>
      </c>
      <c r="K2" s="4">
        <v>1.0377430921925628</v>
      </c>
      <c r="L2" s="4">
        <f t="shared" ref="L2:L30" si="0">K2-H2</f>
        <v>-0.23134145889953683</v>
      </c>
      <c r="M2" s="3" t="b">
        <f t="shared" ref="M2:M30" si="1">L2&lt;0</f>
        <v>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>
        <v>0</v>
      </c>
      <c r="B3" s="3" t="s">
        <v>14</v>
      </c>
      <c r="C3" s="3" t="s">
        <v>32</v>
      </c>
      <c r="D3" s="3" t="s">
        <v>30</v>
      </c>
      <c r="E3" s="3" t="s">
        <v>31</v>
      </c>
      <c r="F3" s="4">
        <v>-2.4969889650095638</v>
      </c>
      <c r="G3" s="4">
        <v>0.74447677869914142</v>
      </c>
      <c r="H3" s="4">
        <v>0.7140959466676482</v>
      </c>
      <c r="I3" s="4">
        <v>5</v>
      </c>
      <c r="J3" s="4">
        <v>0.84396803802012088</v>
      </c>
      <c r="K3" s="4">
        <v>0.55774936854818902</v>
      </c>
      <c r="L3" s="4">
        <f t="shared" si="0"/>
        <v>-0.15634657811945918</v>
      </c>
      <c r="M3" s="3" t="b">
        <f t="shared" si="1"/>
        <v>1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0</v>
      </c>
      <c r="B4" s="3" t="s">
        <v>14</v>
      </c>
      <c r="C4" s="3" t="s">
        <v>33</v>
      </c>
      <c r="D4" s="3" t="s">
        <v>30</v>
      </c>
      <c r="E4" s="3" t="s">
        <v>31</v>
      </c>
      <c r="F4" s="4">
        <v>-2.4969889650095638</v>
      </c>
      <c r="G4" s="4">
        <v>0.5885926737246151</v>
      </c>
      <c r="H4" s="4">
        <v>0.90737268742192301</v>
      </c>
      <c r="I4" s="4">
        <v>5</v>
      </c>
      <c r="J4" s="4">
        <v>0.48142314932670671</v>
      </c>
      <c r="K4" s="4">
        <v>1.0185317431626024</v>
      </c>
      <c r="L4" s="4">
        <f t="shared" si="0"/>
        <v>0.11115905574067941</v>
      </c>
      <c r="M4" s="3" t="b">
        <f t="shared" si="1"/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0</v>
      </c>
      <c r="B5" s="3" t="s">
        <v>14</v>
      </c>
      <c r="C5" s="3" t="s">
        <v>34</v>
      </c>
      <c r="D5" s="3" t="s">
        <v>35</v>
      </c>
      <c r="E5" s="3" t="s">
        <v>31</v>
      </c>
      <c r="F5" s="4">
        <v>-2.4969889650095638</v>
      </c>
      <c r="G5" s="4">
        <v>0.91805904631726976</v>
      </c>
      <c r="H5" s="4">
        <v>0.40650455578319422</v>
      </c>
      <c r="I5" s="4">
        <v>5</v>
      </c>
      <c r="J5" s="4">
        <v>0.8636389764034953</v>
      </c>
      <c r="K5" s="4">
        <v>0.52373196973440916</v>
      </c>
      <c r="L5" s="4">
        <f t="shared" si="0"/>
        <v>0.11722741395121494</v>
      </c>
      <c r="M5" s="3" t="b">
        <f t="shared" si="1"/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0</v>
      </c>
      <c r="B6" s="3" t="s">
        <v>14</v>
      </c>
      <c r="C6" s="3" t="s">
        <v>36</v>
      </c>
      <c r="D6" s="3" t="s">
        <v>37</v>
      </c>
      <c r="E6" s="3" t="s">
        <v>31</v>
      </c>
      <c r="F6" s="4">
        <v>-2.4969889650095638</v>
      </c>
      <c r="G6" s="4">
        <v>0.20432902170021008</v>
      </c>
      <c r="H6" s="4">
        <v>1.2616252009574709</v>
      </c>
      <c r="I6" s="4">
        <v>5</v>
      </c>
      <c r="J6" s="4">
        <v>0.20927837056625462</v>
      </c>
      <c r="K6" s="4">
        <v>1.2576600209189612</v>
      </c>
      <c r="L6" s="4">
        <f t="shared" si="0"/>
        <v>-3.9651800385096525E-3</v>
      </c>
      <c r="M6" s="3" t="b">
        <f t="shared" si="1"/>
        <v>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0</v>
      </c>
      <c r="B7" s="3" t="s">
        <v>14</v>
      </c>
      <c r="C7" s="3" t="s">
        <v>38</v>
      </c>
      <c r="D7" s="3" t="s">
        <v>37</v>
      </c>
      <c r="E7" s="3" t="s">
        <v>31</v>
      </c>
      <c r="F7" s="4">
        <v>-2.4969889650095638</v>
      </c>
      <c r="G7" s="4">
        <v>-9.4606771006309154E-2</v>
      </c>
      <c r="H7" s="4">
        <v>1.4787239845724376</v>
      </c>
      <c r="I7" s="4">
        <v>5</v>
      </c>
      <c r="J7" s="4">
        <v>-7.1175187265678272E-2</v>
      </c>
      <c r="K7" s="4">
        <v>1.4628641372675619</v>
      </c>
      <c r="L7" s="4">
        <f t="shared" si="0"/>
        <v>-1.5859847304875663E-2</v>
      </c>
      <c r="M7" s="3" t="b">
        <f t="shared" si="1"/>
        <v>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1</v>
      </c>
      <c r="B8" s="3" t="s">
        <v>15</v>
      </c>
      <c r="C8" s="3" t="s">
        <v>39</v>
      </c>
      <c r="D8" s="3" t="s">
        <v>30</v>
      </c>
      <c r="E8" s="3" t="s">
        <v>31</v>
      </c>
      <c r="F8" s="4">
        <v>12.515970884282702</v>
      </c>
      <c r="G8" s="4">
        <v>0.74943519256211777</v>
      </c>
      <c r="H8" s="4">
        <v>0.70915120956496502</v>
      </c>
      <c r="I8" s="4">
        <v>-45</v>
      </c>
      <c r="J8" s="4">
        <v>0.5881611901123589</v>
      </c>
      <c r="K8" s="4">
        <v>0.91031149770281916</v>
      </c>
      <c r="L8" s="4">
        <f t="shared" si="0"/>
        <v>0.20116028813785414</v>
      </c>
      <c r="M8" s="3" t="b">
        <f t="shared" si="1"/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1</v>
      </c>
      <c r="B9" s="3" t="s">
        <v>15</v>
      </c>
      <c r="C9" s="3" t="s">
        <v>40</v>
      </c>
      <c r="D9" s="3" t="s">
        <v>30</v>
      </c>
      <c r="E9" s="3" t="s">
        <v>31</v>
      </c>
      <c r="F9" s="4">
        <v>12.515970884282702</v>
      </c>
      <c r="G9" s="4">
        <v>0.36365537101165174</v>
      </c>
      <c r="H9" s="4">
        <v>1.1464771792733248</v>
      </c>
      <c r="I9" s="4">
        <v>-45</v>
      </c>
      <c r="J9" s="4">
        <v>0.64507242345849081</v>
      </c>
      <c r="K9" s="4">
        <v>0.83576893977566258</v>
      </c>
      <c r="L9" s="4">
        <f t="shared" si="0"/>
        <v>-0.31070823949766224</v>
      </c>
      <c r="M9" s="3" t="b">
        <f t="shared" si="1"/>
        <v>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1</v>
      </c>
      <c r="B10" s="3" t="s">
        <v>15</v>
      </c>
      <c r="C10" s="3" t="s">
        <v>33</v>
      </c>
      <c r="D10" s="3" t="s">
        <v>30</v>
      </c>
      <c r="E10" s="3" t="s">
        <v>31</v>
      </c>
      <c r="F10" s="4">
        <v>12.515970884282702</v>
      </c>
      <c r="G10" s="4">
        <v>0.71191118543850984</v>
      </c>
      <c r="H10" s="4">
        <v>0.78183749151863957</v>
      </c>
      <c r="I10" s="4">
        <v>-45</v>
      </c>
      <c r="J10" s="4">
        <v>0.80308041009764475</v>
      </c>
      <c r="K10" s="4">
        <v>0.671035564961182</v>
      </c>
      <c r="L10" s="4">
        <f t="shared" si="0"/>
        <v>-0.11080192655745758</v>
      </c>
      <c r="M10" s="3" t="b">
        <f t="shared" si="1"/>
        <v>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1</v>
      </c>
      <c r="B11" s="3" t="s">
        <v>15</v>
      </c>
      <c r="C11" s="3" t="s">
        <v>41</v>
      </c>
      <c r="D11" s="3" t="s">
        <v>35</v>
      </c>
      <c r="E11" s="3" t="s">
        <v>31</v>
      </c>
      <c r="F11" s="4">
        <v>12.515970884282702</v>
      </c>
      <c r="G11" s="4">
        <v>-8.4321554732940708E-3</v>
      </c>
      <c r="H11" s="4">
        <v>1.4203856861583615</v>
      </c>
      <c r="I11" s="4">
        <v>-45</v>
      </c>
      <c r="J11" s="4">
        <v>0.75268511419150619</v>
      </c>
      <c r="K11" s="4">
        <v>0.7038083562632198</v>
      </c>
      <c r="L11" s="4">
        <f t="shared" si="0"/>
        <v>-0.71657732989514167</v>
      </c>
      <c r="M11" s="3" t="b">
        <f t="shared" si="1"/>
        <v>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1</v>
      </c>
      <c r="B12" s="3" t="s">
        <v>15</v>
      </c>
      <c r="C12" s="3" t="s">
        <v>42</v>
      </c>
      <c r="D12" s="3" t="s">
        <v>37</v>
      </c>
      <c r="E12" s="3" t="s">
        <v>31</v>
      </c>
      <c r="F12" s="4">
        <v>12.515970884282702</v>
      </c>
      <c r="G12" s="4">
        <v>-0.18566320760513436</v>
      </c>
      <c r="H12" s="4">
        <v>1.5395957998652678</v>
      </c>
      <c r="I12" s="4">
        <v>-45</v>
      </c>
      <c r="J12" s="4">
        <v>0.56675812391232838</v>
      </c>
      <c r="K12" s="4">
        <v>0.9323193979736254</v>
      </c>
      <c r="L12" s="4">
        <f t="shared" si="0"/>
        <v>-0.60727640189164245</v>
      </c>
      <c r="M12" s="3" t="b">
        <f t="shared" si="1"/>
        <v>1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</v>
      </c>
      <c r="B13" s="3" t="s">
        <v>15</v>
      </c>
      <c r="C13" s="3" t="s">
        <v>43</v>
      </c>
      <c r="D13" s="3" t="s">
        <v>37</v>
      </c>
      <c r="E13" s="3" t="s">
        <v>31</v>
      </c>
      <c r="F13" s="4">
        <v>12.515970884282702</v>
      </c>
      <c r="G13" s="4">
        <v>0.1538357745779621</v>
      </c>
      <c r="H13" s="4">
        <v>1.3015904044577655</v>
      </c>
      <c r="I13" s="4">
        <v>-45</v>
      </c>
      <c r="J13" s="4">
        <v>-0.27121459262129272</v>
      </c>
      <c r="K13" s="4">
        <v>1.5936751028251266</v>
      </c>
      <c r="L13" s="4">
        <f t="shared" si="0"/>
        <v>0.29208469836736106</v>
      </c>
      <c r="M13" s="3" t="b">
        <f t="shared" si="1"/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3</v>
      </c>
      <c r="B14" s="3" t="s">
        <v>16</v>
      </c>
      <c r="C14" s="3" t="s">
        <v>44</v>
      </c>
      <c r="D14" s="3" t="s">
        <v>30</v>
      </c>
      <c r="E14" s="3" t="s">
        <v>31</v>
      </c>
      <c r="F14" s="4">
        <v>-15.206501418599146</v>
      </c>
      <c r="G14" s="4">
        <v>0.2475988197068415</v>
      </c>
      <c r="H14" s="4">
        <v>1.2199992210460733</v>
      </c>
      <c r="I14" s="4">
        <v>50</v>
      </c>
      <c r="J14" s="4">
        <v>4.3130028457648913E-2</v>
      </c>
      <c r="K14" s="4">
        <v>1.3925639031893753</v>
      </c>
      <c r="L14" s="4">
        <f t="shared" si="0"/>
        <v>0.17256468214330201</v>
      </c>
      <c r="M14" s="3" t="b">
        <f t="shared" si="1"/>
        <v>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3</v>
      </c>
      <c r="B15" s="3" t="s">
        <v>16</v>
      </c>
      <c r="C15" s="3" t="s">
        <v>44</v>
      </c>
      <c r="D15" s="3" t="s">
        <v>30</v>
      </c>
      <c r="E15" s="3" t="s">
        <v>45</v>
      </c>
      <c r="F15" s="4">
        <v>-15.206501418599146</v>
      </c>
      <c r="G15" s="4">
        <v>-0.50038184007362818</v>
      </c>
      <c r="H15" s="4">
        <v>1.7047822873752785</v>
      </c>
      <c r="I15" s="4">
        <v>50</v>
      </c>
      <c r="J15" s="4">
        <v>-0.14640178823087963</v>
      </c>
      <c r="K15" s="4">
        <v>1.4939908012679428</v>
      </c>
      <c r="L15" s="4">
        <f t="shared" si="0"/>
        <v>-0.21079148610733567</v>
      </c>
      <c r="M15" s="3" t="b">
        <f t="shared" si="1"/>
        <v>1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>
        <v>3</v>
      </c>
      <c r="B16" s="3" t="s">
        <v>16</v>
      </c>
      <c r="C16" s="3" t="s">
        <v>44</v>
      </c>
      <c r="D16" s="3" t="s">
        <v>30</v>
      </c>
      <c r="E16" s="3" t="s">
        <v>46</v>
      </c>
      <c r="F16" s="4">
        <v>-15.206501418599146</v>
      </c>
      <c r="G16" s="4">
        <v>0.20398750091953602</v>
      </c>
      <c r="H16" s="4">
        <v>1.2556734237038427</v>
      </c>
      <c r="I16" s="4">
        <v>50</v>
      </c>
      <c r="J16" s="4">
        <v>0.2039875009195361</v>
      </c>
      <c r="K16" s="4">
        <v>1.2556734237038427</v>
      </c>
      <c r="L16" s="4">
        <f t="shared" si="0"/>
        <v>0</v>
      </c>
      <c r="M16" s="3" t="b">
        <f t="shared" si="1"/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>
        <v>3</v>
      </c>
      <c r="B17" s="3" t="s">
        <v>16</v>
      </c>
      <c r="C17" s="3" t="s">
        <v>47</v>
      </c>
      <c r="D17" s="3" t="s">
        <v>30</v>
      </c>
      <c r="E17" s="3" t="s">
        <v>31</v>
      </c>
      <c r="F17" s="4">
        <v>-15.206501418599146</v>
      </c>
      <c r="G17" s="4">
        <v>0.38442700277635439</v>
      </c>
      <c r="H17" s="4">
        <v>1.1044192864360614</v>
      </c>
      <c r="I17" s="4">
        <v>50</v>
      </c>
      <c r="J17" s="4">
        <v>0.39479788283830963</v>
      </c>
      <c r="K17" s="4">
        <v>1.1206068369345008</v>
      </c>
      <c r="L17" s="4">
        <f t="shared" si="0"/>
        <v>1.6187550498439451E-2</v>
      </c>
      <c r="M17" s="3" t="b">
        <f t="shared" si="1"/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>
        <v>3</v>
      </c>
      <c r="B18" s="3" t="s">
        <v>16</v>
      </c>
      <c r="C18" s="3" t="s">
        <v>47</v>
      </c>
      <c r="D18" s="3" t="s">
        <v>30</v>
      </c>
      <c r="E18" s="3" t="s">
        <v>46</v>
      </c>
      <c r="F18" s="4">
        <v>-15.206501418599146</v>
      </c>
      <c r="G18" s="4">
        <v>0.61691560224242603</v>
      </c>
      <c r="H18" s="4">
        <v>0.87585570679465019</v>
      </c>
      <c r="I18" s="4">
        <v>50</v>
      </c>
      <c r="J18" s="4">
        <v>0.61691560224242581</v>
      </c>
      <c r="K18" s="4">
        <v>0.87585570679464997</v>
      </c>
      <c r="L18" s="4">
        <f t="shared" si="0"/>
        <v>0</v>
      </c>
      <c r="M18" s="3" t="b">
        <f t="shared" si="1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>
        <v>3</v>
      </c>
      <c r="B19" s="3" t="s">
        <v>16</v>
      </c>
      <c r="C19" s="3" t="s">
        <v>48</v>
      </c>
      <c r="D19" s="3" t="s">
        <v>30</v>
      </c>
      <c r="E19" s="3" t="s">
        <v>31</v>
      </c>
      <c r="F19" s="4">
        <v>-15.206501418599146</v>
      </c>
      <c r="G19" s="4">
        <v>0.35471620382296598</v>
      </c>
      <c r="H19" s="4">
        <v>1.1313735497342163</v>
      </c>
      <c r="I19" s="4">
        <v>50</v>
      </c>
      <c r="J19" s="4">
        <v>0.52400758259252933</v>
      </c>
      <c r="K19" s="4">
        <v>0.99333560212743099</v>
      </c>
      <c r="L19" s="4">
        <f t="shared" si="0"/>
        <v>-0.13803794760678534</v>
      </c>
      <c r="M19" s="3" t="b">
        <f t="shared" si="1"/>
        <v>1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>
        <v>3</v>
      </c>
      <c r="B20" s="3" t="s">
        <v>16</v>
      </c>
      <c r="C20" s="3" t="s">
        <v>41</v>
      </c>
      <c r="D20" s="3" t="s">
        <v>35</v>
      </c>
      <c r="E20" s="3" t="s">
        <v>31</v>
      </c>
      <c r="F20" s="4">
        <v>-15.206501418599146</v>
      </c>
      <c r="G20" s="4">
        <v>6.8162108853261946E-2</v>
      </c>
      <c r="H20" s="4">
        <v>1.3653649121961113</v>
      </c>
      <c r="I20" s="4">
        <v>50</v>
      </c>
      <c r="J20" s="4">
        <v>0.48598640936215215</v>
      </c>
      <c r="K20" s="4">
        <v>1.0138912593580787</v>
      </c>
      <c r="L20" s="4">
        <f t="shared" si="0"/>
        <v>-0.35147365283803267</v>
      </c>
      <c r="M20" s="3" t="b">
        <f t="shared" si="1"/>
        <v>1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">
        <v>3</v>
      </c>
      <c r="B21" s="3" t="s">
        <v>16</v>
      </c>
      <c r="C21" s="3" t="s">
        <v>49</v>
      </c>
      <c r="D21" s="3" t="s">
        <v>35</v>
      </c>
      <c r="E21" s="3" t="s">
        <v>31</v>
      </c>
      <c r="F21" s="4">
        <v>-15.206501418599146</v>
      </c>
      <c r="G21" s="4">
        <v>-0.25159954837436405</v>
      </c>
      <c r="H21" s="4">
        <v>1.5822438057839241</v>
      </c>
      <c r="I21" s="4">
        <v>50</v>
      </c>
      <c r="J21" s="4">
        <v>0.27590802102917561</v>
      </c>
      <c r="K21" s="4">
        <v>1.2033780408531425</v>
      </c>
      <c r="L21" s="4">
        <f t="shared" si="0"/>
        <v>-0.37886576493078161</v>
      </c>
      <c r="M21" s="3" t="b">
        <f t="shared" si="1"/>
        <v>1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">
        <v>3</v>
      </c>
      <c r="B22" s="3" t="s">
        <v>16</v>
      </c>
      <c r="C22" s="3" t="s">
        <v>50</v>
      </c>
      <c r="D22" s="3" t="s">
        <v>37</v>
      </c>
      <c r="E22" s="3" t="s">
        <v>31</v>
      </c>
      <c r="F22" s="4">
        <v>-15.206501418599146</v>
      </c>
      <c r="G22" s="4">
        <v>0.44744578059696732</v>
      </c>
      <c r="H22" s="4">
        <v>1.0518373166011774</v>
      </c>
      <c r="I22" s="4">
        <v>50</v>
      </c>
      <c r="J22" s="4">
        <v>-0.4160413786427038</v>
      </c>
      <c r="K22" s="4">
        <v>1.6825173442874579</v>
      </c>
      <c r="L22" s="4">
        <f t="shared" si="0"/>
        <v>0.63068002768628051</v>
      </c>
      <c r="M22" s="3" t="b">
        <f t="shared" si="1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">
        <v>3</v>
      </c>
      <c r="B23" s="3" t="s">
        <v>16</v>
      </c>
      <c r="C23" s="3" t="s">
        <v>51</v>
      </c>
      <c r="D23" s="3" t="s">
        <v>37</v>
      </c>
      <c r="E23" s="3" t="s">
        <v>31</v>
      </c>
      <c r="F23" s="4">
        <v>-15.206501418599146</v>
      </c>
      <c r="G23" s="4">
        <v>-0.12595347885263683</v>
      </c>
      <c r="H23" s="4">
        <v>1.5006582414629797</v>
      </c>
      <c r="I23" s="4">
        <v>50</v>
      </c>
      <c r="J23" s="4">
        <v>0.16805546082660341</v>
      </c>
      <c r="K23" s="4">
        <v>1.2898730621263368</v>
      </c>
      <c r="L23" s="4">
        <f t="shared" si="0"/>
        <v>-0.21078517933664287</v>
      </c>
      <c r="M23" s="3" t="b">
        <f t="shared" si="1"/>
        <v>1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3">
        <v>4</v>
      </c>
      <c r="B24" s="3" t="s">
        <v>17</v>
      </c>
      <c r="C24" s="3" t="s">
        <v>29</v>
      </c>
      <c r="D24" s="3" t="s">
        <v>30</v>
      </c>
      <c r="E24" s="3" t="s">
        <v>31</v>
      </c>
      <c r="F24" s="4">
        <v>14.574216198038739</v>
      </c>
      <c r="G24" s="4">
        <v>0.77875699448171132</v>
      </c>
      <c r="H24" s="4">
        <v>0.66235037592680046</v>
      </c>
      <c r="I24" s="4">
        <v>-25</v>
      </c>
      <c r="J24" s="4">
        <v>-0.11433797460319871</v>
      </c>
      <c r="K24" s="4">
        <v>1.4930056497484339</v>
      </c>
      <c r="L24" s="4">
        <f t="shared" si="0"/>
        <v>0.8306552738216334</v>
      </c>
      <c r="M24" s="3" t="b">
        <f t="shared" si="1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">
        <v>4</v>
      </c>
      <c r="B25" s="3" t="s">
        <v>17</v>
      </c>
      <c r="C25" s="3" t="s">
        <v>44</v>
      </c>
      <c r="D25" s="3" t="s">
        <v>30</v>
      </c>
      <c r="E25" s="3" t="s">
        <v>31</v>
      </c>
      <c r="F25" s="4">
        <v>14.574216198038739</v>
      </c>
      <c r="G25" s="4">
        <v>0.8552271822166192</v>
      </c>
      <c r="H25" s="4">
        <v>0.53648950656532013</v>
      </c>
      <c r="I25" s="4">
        <v>-25</v>
      </c>
      <c r="J25" s="4">
        <v>0.67898759525832353</v>
      </c>
      <c r="K25" s="4">
        <v>0.80839536922356614</v>
      </c>
      <c r="L25" s="4">
        <f t="shared" si="0"/>
        <v>0.27190586265824601</v>
      </c>
      <c r="M25" s="3" t="b">
        <f t="shared" si="1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">
        <v>4</v>
      </c>
      <c r="B26" s="3" t="s">
        <v>17</v>
      </c>
      <c r="C26" s="3" t="s">
        <v>44</v>
      </c>
      <c r="D26" s="3" t="s">
        <v>30</v>
      </c>
      <c r="E26" s="3" t="s">
        <v>46</v>
      </c>
      <c r="F26" s="4">
        <v>14.574216198038739</v>
      </c>
      <c r="G26" s="4">
        <v>0.4290996512081155</v>
      </c>
      <c r="H26" s="4">
        <v>1.071486355050455</v>
      </c>
      <c r="I26" s="4">
        <v>-25</v>
      </c>
      <c r="J26" s="4">
        <v>0.42909965120811561</v>
      </c>
      <c r="K26" s="4">
        <v>1.0714863550504552</v>
      </c>
      <c r="L26" s="4">
        <f t="shared" si="0"/>
        <v>0</v>
      </c>
      <c r="M26" s="3" t="b">
        <f t="shared" si="1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3">
        <v>4</v>
      </c>
      <c r="B27" s="3" t="s">
        <v>17</v>
      </c>
      <c r="C27" s="3" t="s">
        <v>52</v>
      </c>
      <c r="D27" s="3" t="s">
        <v>30</v>
      </c>
      <c r="E27" s="3" t="s">
        <v>31</v>
      </c>
      <c r="F27" s="4">
        <v>14.574216198038739</v>
      </c>
      <c r="G27" s="4">
        <v>0.96457708421722943</v>
      </c>
      <c r="H27" s="4">
        <v>0.28476715399306418</v>
      </c>
      <c r="I27" s="4">
        <v>-25</v>
      </c>
      <c r="J27" s="4">
        <v>0.84486160183214987</v>
      </c>
      <c r="K27" s="4">
        <v>0.5890056589135394</v>
      </c>
      <c r="L27" s="4">
        <f t="shared" si="0"/>
        <v>0.30423850492047522</v>
      </c>
      <c r="M27" s="3" t="b">
        <f t="shared" si="1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3">
        <v>4</v>
      </c>
      <c r="B28" s="3" t="s">
        <v>17</v>
      </c>
      <c r="C28" s="3" t="s">
        <v>41</v>
      </c>
      <c r="D28" s="3" t="s">
        <v>35</v>
      </c>
      <c r="E28" s="3" t="s">
        <v>31</v>
      </c>
      <c r="F28" s="4">
        <v>14.574216198038739</v>
      </c>
      <c r="G28" s="4">
        <v>0.29721607358354413</v>
      </c>
      <c r="H28" s="4">
        <v>1.1854589886386144</v>
      </c>
      <c r="I28" s="4">
        <v>-25</v>
      </c>
      <c r="J28" s="4">
        <v>0.86094857554204829</v>
      </c>
      <c r="K28" s="4">
        <v>0.52798497795339228</v>
      </c>
      <c r="L28" s="4">
        <f t="shared" si="0"/>
        <v>-0.65747401068522215</v>
      </c>
      <c r="M28" s="3" t="b">
        <f t="shared" si="1"/>
        <v>1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3">
        <v>4</v>
      </c>
      <c r="B29" s="3" t="s">
        <v>17</v>
      </c>
      <c r="C29" s="3" t="s">
        <v>50</v>
      </c>
      <c r="D29" s="3" t="s">
        <v>37</v>
      </c>
      <c r="E29" s="3" t="s">
        <v>31</v>
      </c>
      <c r="F29" s="4">
        <v>14.574216198038739</v>
      </c>
      <c r="G29" s="4">
        <v>-9.5109229936047535E-2</v>
      </c>
      <c r="H29" s="4">
        <v>1.4799655892259189</v>
      </c>
      <c r="I29" s="4">
        <v>-25</v>
      </c>
      <c r="J29" s="4">
        <v>-0.10196960950497198</v>
      </c>
      <c r="K29" s="4">
        <v>1.4844336960611662</v>
      </c>
      <c r="L29" s="4">
        <f t="shared" si="0"/>
        <v>4.468106835247232E-3</v>
      </c>
      <c r="M29" s="3" t="b">
        <f t="shared" si="1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">
        <v>4</v>
      </c>
      <c r="B30" s="3" t="s">
        <v>17</v>
      </c>
      <c r="C30" s="3" t="s">
        <v>42</v>
      </c>
      <c r="D30" s="3" t="s">
        <v>37</v>
      </c>
      <c r="E30" s="3" t="s">
        <v>31</v>
      </c>
      <c r="F30" s="4">
        <v>14.574216198038739</v>
      </c>
      <c r="G30" s="4">
        <v>-0.33315698653263032</v>
      </c>
      <c r="H30" s="4">
        <v>1.6327694800050145</v>
      </c>
      <c r="I30" s="4">
        <v>-25</v>
      </c>
      <c r="J30" s="4">
        <v>-0.20290805567332559</v>
      </c>
      <c r="K30" s="4">
        <v>1.551071921114004</v>
      </c>
      <c r="L30" s="4">
        <f t="shared" si="0"/>
        <v>-8.1697558891010491E-2</v>
      </c>
      <c r="M30" s="3" t="b">
        <f t="shared" si="1"/>
        <v>1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4.5" customWidth="1"/>
    <col min="2" max="2" width="11.33203125" customWidth="1"/>
    <col min="3" max="3" width="9.33203125" customWidth="1"/>
    <col min="4" max="4" width="12.5" customWidth="1"/>
    <col min="5" max="5" width="9.83203125" customWidth="1"/>
    <col min="6" max="6" width="14.33203125" customWidth="1"/>
    <col min="7" max="7" width="13.5" customWidth="1"/>
    <col min="8" max="8" width="32" customWidth="1"/>
  </cols>
  <sheetData>
    <row r="1" spans="1:26" ht="32" customHeight="1">
      <c r="A1" s="2" t="s">
        <v>2</v>
      </c>
      <c r="B1" s="2" t="s">
        <v>53</v>
      </c>
      <c r="C1" s="2" t="s">
        <v>23</v>
      </c>
      <c r="D1" s="2" t="s">
        <v>54</v>
      </c>
      <c r="E1" s="2" t="s">
        <v>55</v>
      </c>
      <c r="F1" s="2" t="s">
        <v>5</v>
      </c>
      <c r="G1" s="2" t="s">
        <v>56</v>
      </c>
      <c r="H1" s="2" t="s">
        <v>57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>
        <v>0</v>
      </c>
      <c r="B2" s="3" t="s">
        <v>29</v>
      </c>
      <c r="C2" s="3" t="s">
        <v>30</v>
      </c>
      <c r="D2" s="3">
        <v>5</v>
      </c>
      <c r="E2" s="3">
        <v>3</v>
      </c>
      <c r="F2" s="4">
        <v>0</v>
      </c>
      <c r="G2" s="4">
        <v>0.54531758160224952</v>
      </c>
      <c r="H2" s="3" t="s">
        <v>58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>
        <v>0</v>
      </c>
      <c r="B3" s="3" t="s">
        <v>32</v>
      </c>
      <c r="C3" s="3" t="s">
        <v>30</v>
      </c>
      <c r="D3" s="3">
        <v>5</v>
      </c>
      <c r="E3" s="3">
        <v>3</v>
      </c>
      <c r="F3" s="4">
        <v>5</v>
      </c>
      <c r="G3" s="4">
        <v>0.46724000052509612</v>
      </c>
      <c r="H3" s="3" t="s">
        <v>58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0</v>
      </c>
      <c r="B4" s="3" t="s">
        <v>33</v>
      </c>
      <c r="C4" s="3" t="s">
        <v>30</v>
      </c>
      <c r="D4" s="3">
        <v>5</v>
      </c>
      <c r="E4" s="3">
        <v>3</v>
      </c>
      <c r="F4" s="4">
        <v>10</v>
      </c>
      <c r="G4" s="4">
        <v>0.53836657117452569</v>
      </c>
      <c r="H4" s="3" t="s">
        <v>58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0</v>
      </c>
      <c r="B5" s="3" t="s">
        <v>34</v>
      </c>
      <c r="C5" s="3" t="s">
        <v>35</v>
      </c>
      <c r="D5" s="3">
        <v>5</v>
      </c>
      <c r="E5" s="3">
        <v>2</v>
      </c>
      <c r="F5" s="4"/>
      <c r="G5" s="4"/>
      <c r="H5" s="3" t="s">
        <v>59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0</v>
      </c>
      <c r="B6" s="3" t="s">
        <v>36</v>
      </c>
      <c r="C6" s="3" t="s">
        <v>37</v>
      </c>
      <c r="D6" s="3">
        <v>5</v>
      </c>
      <c r="E6" s="3">
        <v>3</v>
      </c>
      <c r="F6" s="4">
        <v>5</v>
      </c>
      <c r="G6" s="4">
        <v>0.46215758583073135</v>
      </c>
      <c r="H6" s="3" t="s">
        <v>58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0</v>
      </c>
      <c r="B7" s="3" t="s">
        <v>38</v>
      </c>
      <c r="C7" s="3" t="s">
        <v>37</v>
      </c>
      <c r="D7" s="3">
        <v>5</v>
      </c>
      <c r="E7" s="3">
        <v>3</v>
      </c>
      <c r="F7" s="4">
        <v>5</v>
      </c>
      <c r="G7" s="4">
        <v>0.55564210510804235</v>
      </c>
      <c r="H7" s="3" t="s">
        <v>58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1</v>
      </c>
      <c r="B8" s="3" t="s">
        <v>39</v>
      </c>
      <c r="C8" s="3" t="s">
        <v>30</v>
      </c>
      <c r="D8" s="3">
        <v>5</v>
      </c>
      <c r="E8" s="3">
        <v>3</v>
      </c>
      <c r="F8" s="4">
        <v>-50</v>
      </c>
      <c r="G8" s="4">
        <v>0.54245981736810256</v>
      </c>
      <c r="H8" s="3" t="s">
        <v>58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1</v>
      </c>
      <c r="B9" s="3" t="s">
        <v>40</v>
      </c>
      <c r="C9" s="3" t="s">
        <v>30</v>
      </c>
      <c r="D9" s="3">
        <v>5</v>
      </c>
      <c r="E9" s="3">
        <v>3</v>
      </c>
      <c r="F9" s="4">
        <v>-45</v>
      </c>
      <c r="G9" s="4">
        <v>0.53202589331400862</v>
      </c>
      <c r="H9" s="3" t="s">
        <v>58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1</v>
      </c>
      <c r="B10" s="3" t="s">
        <v>33</v>
      </c>
      <c r="C10" s="3" t="s">
        <v>30</v>
      </c>
      <c r="D10" s="3">
        <v>5</v>
      </c>
      <c r="E10" s="3">
        <v>3</v>
      </c>
      <c r="F10" s="4">
        <v>-45</v>
      </c>
      <c r="G10" s="4">
        <v>0.50569122887414963</v>
      </c>
      <c r="H10" s="3" t="s">
        <v>58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1</v>
      </c>
      <c r="B11" s="3" t="s">
        <v>41</v>
      </c>
      <c r="C11" s="3" t="s">
        <v>35</v>
      </c>
      <c r="D11" s="3">
        <v>5</v>
      </c>
      <c r="E11" s="3">
        <v>2</v>
      </c>
      <c r="F11" s="4"/>
      <c r="G11" s="4"/>
      <c r="H11" s="3" t="s">
        <v>59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1</v>
      </c>
      <c r="B12" s="3" t="s">
        <v>42</v>
      </c>
      <c r="C12" s="3" t="s">
        <v>37</v>
      </c>
      <c r="D12" s="3">
        <v>5</v>
      </c>
      <c r="E12" s="3">
        <v>3</v>
      </c>
      <c r="F12" s="4">
        <v>-20</v>
      </c>
      <c r="G12" s="4">
        <v>0.40943927982877554</v>
      </c>
      <c r="H12" s="3" t="s">
        <v>58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</v>
      </c>
      <c r="B13" s="3" t="s">
        <v>43</v>
      </c>
      <c r="C13" s="3" t="s">
        <v>37</v>
      </c>
      <c r="D13" s="3">
        <v>5</v>
      </c>
      <c r="E13" s="3">
        <v>3</v>
      </c>
      <c r="F13" s="4">
        <v>-55</v>
      </c>
      <c r="G13" s="4">
        <v>0.67640973490266709</v>
      </c>
      <c r="H13" s="3" t="s">
        <v>58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3</v>
      </c>
      <c r="B14" s="3" t="s">
        <v>44</v>
      </c>
      <c r="C14" s="3" t="s">
        <v>30</v>
      </c>
      <c r="D14" s="3">
        <v>6</v>
      </c>
      <c r="E14" s="3">
        <v>3</v>
      </c>
      <c r="F14" s="4">
        <v>40</v>
      </c>
      <c r="G14" s="4">
        <v>0.25940783921561655</v>
      </c>
      <c r="H14" s="3" t="s">
        <v>58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3</v>
      </c>
      <c r="B15" s="3" t="s">
        <v>47</v>
      </c>
      <c r="C15" s="3" t="s">
        <v>30</v>
      </c>
      <c r="D15" s="3">
        <v>6</v>
      </c>
      <c r="E15" s="3">
        <v>3</v>
      </c>
      <c r="F15" s="4">
        <v>50</v>
      </c>
      <c r="G15" s="4">
        <v>0.17858133481386532</v>
      </c>
      <c r="H15" s="3" t="s">
        <v>58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>
        <v>3</v>
      </c>
      <c r="B16" s="3" t="s">
        <v>48</v>
      </c>
      <c r="C16" s="3" t="s">
        <v>30</v>
      </c>
      <c r="D16" s="3">
        <v>6</v>
      </c>
      <c r="E16" s="3">
        <v>3</v>
      </c>
      <c r="F16" s="4">
        <v>65</v>
      </c>
      <c r="G16" s="4">
        <v>0.17882486866026512</v>
      </c>
      <c r="H16" s="3" t="s">
        <v>58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>
        <v>3</v>
      </c>
      <c r="B17" s="3" t="s">
        <v>41</v>
      </c>
      <c r="C17" s="3" t="s">
        <v>35</v>
      </c>
      <c r="D17" s="3">
        <v>6</v>
      </c>
      <c r="E17" s="3">
        <v>3</v>
      </c>
      <c r="F17" s="4">
        <v>75</v>
      </c>
      <c r="G17" s="4">
        <v>0.17671998245142084</v>
      </c>
      <c r="H17" s="3" t="s">
        <v>58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>
        <v>3</v>
      </c>
      <c r="B18" s="3" t="s">
        <v>49</v>
      </c>
      <c r="C18" s="3" t="s">
        <v>35</v>
      </c>
      <c r="D18" s="3">
        <v>6</v>
      </c>
      <c r="E18" s="3">
        <v>3</v>
      </c>
      <c r="F18" s="4">
        <v>40</v>
      </c>
      <c r="G18" s="4">
        <v>0.24338844013279701</v>
      </c>
      <c r="H18" s="3" t="s">
        <v>58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>
        <v>3</v>
      </c>
      <c r="B19" s="3" t="s">
        <v>50</v>
      </c>
      <c r="C19" s="3" t="s">
        <v>37</v>
      </c>
      <c r="D19" s="3">
        <v>6</v>
      </c>
      <c r="E19" s="3">
        <v>3</v>
      </c>
      <c r="F19" s="4">
        <v>55</v>
      </c>
      <c r="G19" s="4">
        <v>0.30195651503416721</v>
      </c>
      <c r="H19" s="3" t="s">
        <v>58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>
        <v>3</v>
      </c>
      <c r="B20" s="3" t="s">
        <v>51</v>
      </c>
      <c r="C20" s="3" t="s">
        <v>37</v>
      </c>
      <c r="D20" s="3">
        <v>6</v>
      </c>
      <c r="E20" s="3">
        <v>3</v>
      </c>
      <c r="F20" s="4">
        <v>-5</v>
      </c>
      <c r="G20" s="4">
        <v>0.27122625551384599</v>
      </c>
      <c r="H20" s="3" t="s">
        <v>58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">
        <v>4</v>
      </c>
      <c r="B21" s="3" t="s">
        <v>29</v>
      </c>
      <c r="C21" s="3" t="s">
        <v>30</v>
      </c>
      <c r="D21" s="3">
        <v>5</v>
      </c>
      <c r="E21" s="3">
        <v>3</v>
      </c>
      <c r="F21" s="4">
        <v>-30</v>
      </c>
      <c r="G21" s="4">
        <v>0.47248813131998429</v>
      </c>
      <c r="H21" s="3" t="s">
        <v>58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">
        <v>4</v>
      </c>
      <c r="B22" s="3" t="s">
        <v>44</v>
      </c>
      <c r="C22" s="3" t="s">
        <v>30</v>
      </c>
      <c r="D22" s="3">
        <v>5</v>
      </c>
      <c r="E22" s="3">
        <v>3</v>
      </c>
      <c r="F22" s="4">
        <v>-10</v>
      </c>
      <c r="G22" s="4">
        <v>0.37035652783568462</v>
      </c>
      <c r="H22" s="3" t="s">
        <v>58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">
        <v>4</v>
      </c>
      <c r="B23" s="3" t="s">
        <v>52</v>
      </c>
      <c r="C23" s="3" t="s">
        <v>30</v>
      </c>
      <c r="D23" s="3">
        <v>5</v>
      </c>
      <c r="E23" s="3">
        <v>3</v>
      </c>
      <c r="F23" s="4">
        <v>-10</v>
      </c>
      <c r="G23" s="4">
        <v>0.31252132766644608</v>
      </c>
      <c r="H23" s="3" t="s">
        <v>58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3">
        <v>4</v>
      </c>
      <c r="B24" s="3" t="s">
        <v>41</v>
      </c>
      <c r="C24" s="3" t="s">
        <v>35</v>
      </c>
      <c r="D24" s="3">
        <v>5</v>
      </c>
      <c r="E24" s="3">
        <v>2</v>
      </c>
      <c r="F24" s="4"/>
      <c r="G24" s="4"/>
      <c r="H24" s="3" t="s">
        <v>59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">
        <v>4</v>
      </c>
      <c r="B25" s="3" t="s">
        <v>50</v>
      </c>
      <c r="C25" s="3" t="s">
        <v>37</v>
      </c>
      <c r="D25" s="3">
        <v>5</v>
      </c>
      <c r="E25" s="3">
        <v>3</v>
      </c>
      <c r="F25" s="4">
        <v>-30</v>
      </c>
      <c r="G25" s="4">
        <v>0.36312050535894286</v>
      </c>
      <c r="H25" s="3" t="s">
        <v>58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">
        <v>4</v>
      </c>
      <c r="B26" s="3" t="s">
        <v>42</v>
      </c>
      <c r="C26" s="3" t="s">
        <v>37</v>
      </c>
      <c r="D26" s="3">
        <v>5</v>
      </c>
      <c r="E26" s="3">
        <v>3</v>
      </c>
      <c r="F26" s="4">
        <v>-15</v>
      </c>
      <c r="G26" s="4">
        <v>0.3988267421153911</v>
      </c>
      <c r="H26" s="3" t="s">
        <v>58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4.5" customWidth="1"/>
    <col min="2" max="2" width="7.83203125" customWidth="1"/>
    <col min="3" max="3" width="6.33203125" customWidth="1"/>
    <col min="4" max="4" width="5.5" customWidth="1"/>
    <col min="5" max="5" width="6.6640625" customWidth="1"/>
    <col min="6" max="6" width="6.33203125" customWidth="1"/>
    <col min="7" max="7" width="8.6640625" customWidth="1"/>
    <col min="8" max="8" width="8.33203125" customWidth="1"/>
    <col min="9" max="9" width="20" customWidth="1"/>
    <col min="10" max="10" width="8.5" customWidth="1"/>
    <col min="11" max="11" width="4.83203125" customWidth="1"/>
    <col min="12" max="12" width="14.5" customWidth="1"/>
    <col min="13" max="13" width="11.33203125" customWidth="1"/>
    <col min="14" max="14" width="14.83203125" customWidth="1"/>
    <col min="15" max="15" width="6.5" customWidth="1"/>
    <col min="16" max="16" width="13.5" customWidth="1"/>
  </cols>
  <sheetData>
    <row r="1" spans="1:26" ht="32" customHeight="1">
      <c r="A1" s="2" t="s">
        <v>2</v>
      </c>
      <c r="B1" s="2" t="s">
        <v>60</v>
      </c>
      <c r="C1" s="2" t="s">
        <v>61</v>
      </c>
      <c r="D1" s="2" t="s">
        <v>22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>
        <v>0</v>
      </c>
      <c r="B2" s="3" t="s">
        <v>30</v>
      </c>
      <c r="C2" s="3" t="s">
        <v>74</v>
      </c>
      <c r="D2" s="3" t="s">
        <v>75</v>
      </c>
      <c r="E2" s="3"/>
      <c r="F2" s="3" t="s">
        <v>76</v>
      </c>
      <c r="G2" s="4">
        <v>8.2539977310687362</v>
      </c>
      <c r="H2" s="4">
        <v>166.70012969673647</v>
      </c>
      <c r="I2" s="4">
        <v>0.29669565796998687</v>
      </c>
      <c r="J2" s="4">
        <v>1</v>
      </c>
      <c r="K2" s="6">
        <v>3.0799502974831916</v>
      </c>
      <c r="L2" s="5" t="b">
        <v>1</v>
      </c>
      <c r="M2" s="6">
        <v>-175.71208536737365</v>
      </c>
      <c r="N2" s="6">
        <v>0</v>
      </c>
      <c r="O2" s="5" t="b">
        <v>1</v>
      </c>
      <c r="P2" s="3" t="s">
        <v>31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>
        <v>0</v>
      </c>
      <c r="B3" s="3" t="s">
        <v>30</v>
      </c>
      <c r="C3" s="3" t="s">
        <v>74</v>
      </c>
      <c r="D3" s="3" t="s">
        <v>77</v>
      </c>
      <c r="E3" s="3"/>
      <c r="F3" s="3" t="s">
        <v>76</v>
      </c>
      <c r="G3" s="4">
        <v>9.4673565521966179</v>
      </c>
      <c r="H3" s="4">
        <v>69.681724185619075</v>
      </c>
      <c r="I3" s="4">
        <v>0.58866344005809634</v>
      </c>
      <c r="J3" s="4">
        <v>1</v>
      </c>
      <c r="K3" s="6">
        <v>2.3228761840085319</v>
      </c>
      <c r="L3" s="5" t="b">
        <v>1</v>
      </c>
      <c r="M3" s="6">
        <v>-161.69877050479698</v>
      </c>
      <c r="N3" s="6">
        <v>14.013314862576664</v>
      </c>
      <c r="O3" s="5" t="b">
        <v>1</v>
      </c>
      <c r="P3" s="3" t="s">
        <v>31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0</v>
      </c>
      <c r="B4" s="3" t="s">
        <v>30</v>
      </c>
      <c r="C4" s="3" t="s">
        <v>78</v>
      </c>
      <c r="D4" s="3" t="s">
        <v>79</v>
      </c>
      <c r="E4" s="3"/>
      <c r="F4" s="3" t="s">
        <v>76</v>
      </c>
      <c r="G4" s="4">
        <v>11.397806700245898</v>
      </c>
      <c r="H4" s="4">
        <v>285.93357299385889</v>
      </c>
      <c r="I4" s="4">
        <v>0.99587341427925347</v>
      </c>
      <c r="J4" s="4">
        <v>1</v>
      </c>
      <c r="K4" s="6">
        <v>2.3287727709983583</v>
      </c>
      <c r="L4" s="5" t="b">
        <v>1</v>
      </c>
      <c r="M4" s="6">
        <v>-169.97789132978906</v>
      </c>
      <c r="N4" s="6">
        <v>5.7341940375845866</v>
      </c>
      <c r="O4" s="5" t="b">
        <v>1</v>
      </c>
      <c r="P4" s="3" t="s">
        <v>31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0</v>
      </c>
      <c r="B5" s="3" t="s">
        <v>35</v>
      </c>
      <c r="C5" s="3" t="s">
        <v>80</v>
      </c>
      <c r="D5" s="3" t="s">
        <v>81</v>
      </c>
      <c r="E5" s="3" t="s">
        <v>82</v>
      </c>
      <c r="F5" s="3" t="s">
        <v>76</v>
      </c>
      <c r="G5" s="4">
        <v>25.110056794676453</v>
      </c>
      <c r="H5" s="4">
        <v>52.684548185831261</v>
      </c>
      <c r="I5" s="4">
        <v>0.29899112507420478</v>
      </c>
      <c r="J5" s="4">
        <v>1</v>
      </c>
      <c r="K5" s="6">
        <v>2.2020232464178053</v>
      </c>
      <c r="L5" s="5" t="b">
        <v>1</v>
      </c>
      <c r="M5" s="6">
        <v>-180.97995090677375</v>
      </c>
      <c r="N5" s="6">
        <v>0</v>
      </c>
      <c r="O5" s="5" t="b">
        <v>1</v>
      </c>
      <c r="P5" s="3" t="s">
        <v>31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0</v>
      </c>
      <c r="B6" s="3" t="s">
        <v>37</v>
      </c>
      <c r="C6" s="3" t="s">
        <v>83</v>
      </c>
      <c r="D6" s="3" t="s">
        <v>84</v>
      </c>
      <c r="E6" s="3"/>
      <c r="F6" s="3" t="s">
        <v>76</v>
      </c>
      <c r="G6" s="4">
        <v>45.00273705417974</v>
      </c>
      <c r="H6" s="4">
        <v>81.260680383116224</v>
      </c>
      <c r="I6" s="4">
        <v>0.7748006426835109</v>
      </c>
      <c r="J6" s="4">
        <v>1</v>
      </c>
      <c r="K6" s="6">
        <v>2.3509407532580844</v>
      </c>
      <c r="L6" s="5" t="b">
        <v>1</v>
      </c>
      <c r="M6" s="6">
        <v>-180.01298110982847</v>
      </c>
      <c r="N6" s="6">
        <v>0</v>
      </c>
      <c r="O6" s="5" t="b">
        <v>1</v>
      </c>
      <c r="P6" s="3" t="s">
        <v>31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0</v>
      </c>
      <c r="B7" s="3" t="s">
        <v>37</v>
      </c>
      <c r="C7" s="3" t="s">
        <v>85</v>
      </c>
      <c r="D7" s="3" t="s">
        <v>86</v>
      </c>
      <c r="E7" s="3"/>
      <c r="F7" s="3" t="s">
        <v>76</v>
      </c>
      <c r="G7" s="4">
        <v>44.773256304391111</v>
      </c>
      <c r="H7" s="4">
        <v>246.69894830363407</v>
      </c>
      <c r="I7" s="4">
        <v>0.5371292381617605</v>
      </c>
      <c r="J7" s="4">
        <v>1</v>
      </c>
      <c r="K7" s="6">
        <v>2.1695784634229009</v>
      </c>
      <c r="L7" s="5" t="b">
        <v>1</v>
      </c>
      <c r="M7" s="6">
        <v>-176.32181213209665</v>
      </c>
      <c r="N7" s="6">
        <v>3.6911689777318202</v>
      </c>
      <c r="O7" s="5" t="b">
        <v>1</v>
      </c>
      <c r="P7" s="3" t="s">
        <v>31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1</v>
      </c>
      <c r="B8" s="3" t="s">
        <v>30</v>
      </c>
      <c r="C8" s="3" t="s">
        <v>74</v>
      </c>
      <c r="D8" s="3" t="s">
        <v>87</v>
      </c>
      <c r="E8" s="3"/>
      <c r="F8" s="3" t="s">
        <v>76</v>
      </c>
      <c r="G8" s="4">
        <v>9.169508052680488</v>
      </c>
      <c r="H8" s="4">
        <v>331.17639085653298</v>
      </c>
      <c r="I8" s="4">
        <v>0.54476871509228908</v>
      </c>
      <c r="J8" s="4">
        <v>1</v>
      </c>
      <c r="K8" s="6">
        <v>2.3400360697425326</v>
      </c>
      <c r="L8" s="5" t="b">
        <v>1</v>
      </c>
      <c r="M8" s="6">
        <v>-176.270270504797</v>
      </c>
      <c r="N8" s="6">
        <v>2.2254284945592246</v>
      </c>
      <c r="O8" s="5" t="b">
        <v>1</v>
      </c>
      <c r="P8" s="3" t="s">
        <v>31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1</v>
      </c>
      <c r="B9" s="3" t="s">
        <v>30</v>
      </c>
      <c r="C9" s="3" t="s">
        <v>83</v>
      </c>
      <c r="D9" s="3" t="s">
        <v>88</v>
      </c>
      <c r="E9" s="3"/>
      <c r="F9" s="3" t="s">
        <v>76</v>
      </c>
      <c r="G9" s="4">
        <v>4.9534400598673489</v>
      </c>
      <c r="H9" s="4">
        <v>42.466492292566912</v>
      </c>
      <c r="I9" s="4">
        <v>0.21730871725519607</v>
      </c>
      <c r="J9" s="4">
        <v>1</v>
      </c>
      <c r="K9" s="6">
        <v>2.1208273739032171</v>
      </c>
      <c r="L9" s="5" t="b">
        <v>1</v>
      </c>
      <c r="M9" s="6">
        <v>-178.49569899935622</v>
      </c>
      <c r="N9" s="6">
        <v>0</v>
      </c>
      <c r="O9" s="5" t="b">
        <v>1</v>
      </c>
      <c r="P9" s="3" t="s">
        <v>31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1</v>
      </c>
      <c r="B10" s="3" t="s">
        <v>30</v>
      </c>
      <c r="C10" s="3" t="s">
        <v>78</v>
      </c>
      <c r="D10" s="3" t="s">
        <v>79</v>
      </c>
      <c r="E10" s="3"/>
      <c r="F10" s="3" t="s">
        <v>76</v>
      </c>
      <c r="G10" s="4">
        <v>11.288906067549794</v>
      </c>
      <c r="H10" s="4">
        <v>285.74575589478877</v>
      </c>
      <c r="I10" s="4">
        <v>0.99915055630148797</v>
      </c>
      <c r="J10" s="4">
        <v>1</v>
      </c>
      <c r="K10" s="6">
        <v>2.0540354247668882</v>
      </c>
      <c r="L10" s="5" t="b">
        <v>1</v>
      </c>
      <c r="M10" s="6">
        <v>-166.25810819535974</v>
      </c>
      <c r="N10" s="6">
        <v>12.237590803996483</v>
      </c>
      <c r="O10" s="5" t="b">
        <v>1</v>
      </c>
      <c r="P10" s="3" t="s">
        <v>31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1</v>
      </c>
      <c r="B11" s="3" t="s">
        <v>35</v>
      </c>
      <c r="C11" s="3" t="s">
        <v>89</v>
      </c>
      <c r="D11" s="3" t="s">
        <v>90</v>
      </c>
      <c r="E11" s="3" t="s">
        <v>82</v>
      </c>
      <c r="F11" s="3" t="s">
        <v>76</v>
      </c>
      <c r="G11" s="4">
        <v>24.860503430561561</v>
      </c>
      <c r="H11" s="4">
        <v>100.30541308905275</v>
      </c>
      <c r="I11" s="4">
        <v>0.98523073321009158</v>
      </c>
      <c r="J11" s="4">
        <v>1</v>
      </c>
      <c r="K11" s="6">
        <v>2.2205150765096144</v>
      </c>
      <c r="L11" s="5" t="b">
        <v>1</v>
      </c>
      <c r="M11" s="6">
        <v>-180.29926157987921</v>
      </c>
      <c r="N11" s="6">
        <v>0</v>
      </c>
      <c r="O11" s="5" t="b">
        <v>1</v>
      </c>
      <c r="P11" s="3" t="s">
        <v>31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1</v>
      </c>
      <c r="B12" s="3" t="s">
        <v>37</v>
      </c>
      <c r="C12" s="3" t="s">
        <v>91</v>
      </c>
      <c r="D12" s="3" t="s">
        <v>92</v>
      </c>
      <c r="E12" s="3"/>
      <c r="F12" s="3" t="s">
        <v>76</v>
      </c>
      <c r="G12" s="4">
        <v>44.971311395624021</v>
      </c>
      <c r="H12" s="4">
        <v>121.49157729902934</v>
      </c>
      <c r="I12" s="4">
        <v>0.94394864056021266</v>
      </c>
      <c r="J12" s="4">
        <v>1</v>
      </c>
      <c r="K12" s="6">
        <v>2.091810854260487</v>
      </c>
      <c r="L12" s="5" t="b">
        <v>1</v>
      </c>
      <c r="M12" s="6">
        <v>-173.85198896387777</v>
      </c>
      <c r="N12" s="6">
        <v>0</v>
      </c>
      <c r="O12" s="5" t="b">
        <v>1</v>
      </c>
      <c r="P12" s="3" t="s">
        <v>31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</v>
      </c>
      <c r="B13" s="3" t="s">
        <v>37</v>
      </c>
      <c r="C13" s="3" t="s">
        <v>85</v>
      </c>
      <c r="D13" s="3" t="s">
        <v>93</v>
      </c>
      <c r="E13" s="3"/>
      <c r="F13" s="3" t="s">
        <v>76</v>
      </c>
      <c r="G13" s="4">
        <v>45.111883193441926</v>
      </c>
      <c r="H13" s="4">
        <v>240.53814061638386</v>
      </c>
      <c r="I13" s="4">
        <v>0.49159561270449104</v>
      </c>
      <c r="J13" s="4">
        <v>1</v>
      </c>
      <c r="K13" s="6">
        <v>3.3383766799010677</v>
      </c>
      <c r="L13" s="5" t="b">
        <v>1</v>
      </c>
      <c r="M13" s="6">
        <v>-165.04162562752981</v>
      </c>
      <c r="N13" s="6">
        <v>8.8103633363479616</v>
      </c>
      <c r="O13" s="5" t="b">
        <v>1</v>
      </c>
      <c r="P13" s="3" t="s">
        <v>31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3</v>
      </c>
      <c r="B14" s="3" t="s">
        <v>30</v>
      </c>
      <c r="C14" s="3" t="s">
        <v>74</v>
      </c>
      <c r="D14" s="3" t="s">
        <v>94</v>
      </c>
      <c r="E14" s="3"/>
      <c r="F14" s="3" t="s">
        <v>76</v>
      </c>
      <c r="G14" s="4">
        <v>6.670564543553807</v>
      </c>
      <c r="H14" s="4">
        <v>90.476949001390381</v>
      </c>
      <c r="I14" s="4">
        <v>0.42462112174193783</v>
      </c>
      <c r="J14" s="4">
        <v>1</v>
      </c>
      <c r="K14" s="6">
        <v>3.2444145501198967</v>
      </c>
      <c r="L14" s="5" t="b">
        <v>1</v>
      </c>
      <c r="M14" s="6">
        <v>-179.0105061276509</v>
      </c>
      <c r="N14" s="6">
        <v>1.0040652384045075</v>
      </c>
      <c r="O14" s="5" t="b">
        <v>1</v>
      </c>
      <c r="P14" s="3" t="s">
        <v>95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3</v>
      </c>
      <c r="B15" s="3" t="s">
        <v>30</v>
      </c>
      <c r="C15" s="3" t="s">
        <v>74</v>
      </c>
      <c r="D15" s="3" t="s">
        <v>96</v>
      </c>
      <c r="E15" s="3"/>
      <c r="F15" s="3" t="s">
        <v>76</v>
      </c>
      <c r="G15" s="4">
        <v>5.8383213003963101</v>
      </c>
      <c r="H15" s="4">
        <v>122.8951736651225</v>
      </c>
      <c r="I15" s="4">
        <v>0.89725388388059213</v>
      </c>
      <c r="J15" s="4">
        <v>1</v>
      </c>
      <c r="K15" s="6">
        <v>2.2125477876303004</v>
      </c>
      <c r="L15" s="5" t="b">
        <v>1</v>
      </c>
      <c r="M15" s="6">
        <v>-171.6535043840168</v>
      </c>
      <c r="N15" s="6">
        <v>8.3610669820386079</v>
      </c>
      <c r="O15" s="5" t="b">
        <v>1</v>
      </c>
      <c r="P15" s="3" t="s">
        <v>97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>
        <v>3</v>
      </c>
      <c r="B16" s="3" t="s">
        <v>30</v>
      </c>
      <c r="C16" s="3" t="s">
        <v>74</v>
      </c>
      <c r="D16" s="3" t="s">
        <v>98</v>
      </c>
      <c r="E16" s="3"/>
      <c r="F16" s="3" t="s">
        <v>76</v>
      </c>
      <c r="G16" s="4">
        <v>5.1504423555735324</v>
      </c>
      <c r="H16" s="4">
        <v>190.46658868508061</v>
      </c>
      <c r="I16" s="4">
        <v>0.48297152357953116</v>
      </c>
      <c r="J16" s="4">
        <v>1</v>
      </c>
      <c r="K16" s="6">
        <v>2.5576069516922546</v>
      </c>
      <c r="L16" s="5" t="b">
        <v>1</v>
      </c>
      <c r="M16" s="6">
        <v>-179.18772224049815</v>
      </c>
      <c r="N16" s="6">
        <v>0.82684912555725987</v>
      </c>
      <c r="O16" s="5" t="b">
        <v>1</v>
      </c>
      <c r="P16" s="3" t="s">
        <v>31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>
        <v>3</v>
      </c>
      <c r="B17" s="3" t="s">
        <v>35</v>
      </c>
      <c r="C17" s="3" t="s">
        <v>89</v>
      </c>
      <c r="D17" s="3" t="s">
        <v>90</v>
      </c>
      <c r="E17" s="3" t="s">
        <v>82</v>
      </c>
      <c r="F17" s="3" t="s">
        <v>76</v>
      </c>
      <c r="G17" s="4">
        <v>24.823810698724252</v>
      </c>
      <c r="H17" s="4">
        <v>100.44483242310608</v>
      </c>
      <c r="I17" s="4">
        <v>0.5854776284872566</v>
      </c>
      <c r="J17" s="4">
        <v>1</v>
      </c>
      <c r="K17" s="6">
        <v>2.9752115257097893</v>
      </c>
      <c r="L17" s="5" t="b">
        <v>1</v>
      </c>
      <c r="M17" s="6">
        <v>-180.98040857485989</v>
      </c>
      <c r="N17" s="6">
        <v>0</v>
      </c>
      <c r="O17" s="5" t="b">
        <v>1</v>
      </c>
      <c r="P17" s="3" t="s">
        <v>31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>
        <v>3</v>
      </c>
      <c r="B18" s="3" t="s">
        <v>35</v>
      </c>
      <c r="C18" s="3" t="s">
        <v>99</v>
      </c>
      <c r="D18" s="3" t="s">
        <v>100</v>
      </c>
      <c r="E18" s="3"/>
      <c r="F18" s="3" t="s">
        <v>76</v>
      </c>
      <c r="G18" s="4">
        <v>24.352584597311854</v>
      </c>
      <c r="H18" s="4">
        <v>99.523613407105699</v>
      </c>
      <c r="I18" s="4">
        <v>0.57057204341213064</v>
      </c>
      <c r="J18" s="4">
        <v>1</v>
      </c>
      <c r="K18" s="6">
        <v>2.4746623696229753</v>
      </c>
      <c r="L18" s="5" t="b">
        <v>1</v>
      </c>
      <c r="M18" s="6">
        <v>-170.03660996640193</v>
      </c>
      <c r="N18" s="6">
        <v>10.943798608457968</v>
      </c>
      <c r="O18" s="5" t="b">
        <v>1</v>
      </c>
      <c r="P18" s="3" t="s">
        <v>31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>
        <v>3</v>
      </c>
      <c r="B19" s="3" t="s">
        <v>37</v>
      </c>
      <c r="C19" s="3" t="s">
        <v>85</v>
      </c>
      <c r="D19" s="3" t="s">
        <v>101</v>
      </c>
      <c r="E19" s="3"/>
      <c r="F19" s="3" t="s">
        <v>76</v>
      </c>
      <c r="G19" s="4">
        <v>44.908056003458555</v>
      </c>
      <c r="H19" s="4">
        <v>235.37702228349235</v>
      </c>
      <c r="I19" s="4">
        <v>7.1491121256277601E-2</v>
      </c>
      <c r="J19" s="4">
        <v>1</v>
      </c>
      <c r="K19" s="6">
        <v>2.296703532050103</v>
      </c>
      <c r="L19" s="5" t="b">
        <v>1</v>
      </c>
      <c r="M19" s="6">
        <v>-177.03071008417857</v>
      </c>
      <c r="N19" s="6">
        <v>3.7131493711191581</v>
      </c>
      <c r="O19" s="5" t="b">
        <v>1</v>
      </c>
      <c r="P19" s="3" t="s">
        <v>31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>
        <v>3</v>
      </c>
      <c r="B20" s="3" t="s">
        <v>37</v>
      </c>
      <c r="C20" s="3" t="s">
        <v>102</v>
      </c>
      <c r="D20" s="3" t="s">
        <v>103</v>
      </c>
      <c r="E20" s="3"/>
      <c r="F20" s="3" t="s">
        <v>76</v>
      </c>
      <c r="G20" s="4">
        <v>44.845076930961866</v>
      </c>
      <c r="H20" s="4">
        <v>87.020287868459377</v>
      </c>
      <c r="I20" s="4">
        <v>0.37095619077936115</v>
      </c>
      <c r="J20" s="4">
        <v>1</v>
      </c>
      <c r="K20" s="6">
        <v>3.0546284829557009</v>
      </c>
      <c r="L20" s="5" t="b">
        <v>1</v>
      </c>
      <c r="M20" s="6">
        <v>-180.74385945529772</v>
      </c>
      <c r="N20" s="6">
        <v>0</v>
      </c>
      <c r="O20" s="5" t="b">
        <v>1</v>
      </c>
      <c r="P20" s="3" t="s">
        <v>31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">
        <v>4</v>
      </c>
      <c r="B21" s="3" t="s">
        <v>30</v>
      </c>
      <c r="C21" s="3" t="s">
        <v>74</v>
      </c>
      <c r="D21" s="3" t="s">
        <v>75</v>
      </c>
      <c r="E21" s="3"/>
      <c r="F21" s="3" t="s">
        <v>76</v>
      </c>
      <c r="G21" s="4">
        <v>8.2548178390117268</v>
      </c>
      <c r="H21" s="4">
        <v>166.6668947360692</v>
      </c>
      <c r="I21" s="4">
        <v>0.35534976982943461</v>
      </c>
      <c r="J21" s="4">
        <v>1</v>
      </c>
      <c r="K21" s="6">
        <v>3.6473604658903014</v>
      </c>
      <c r="L21" s="5" t="b">
        <v>1</v>
      </c>
      <c r="M21" s="6">
        <v>-178.09888536737364</v>
      </c>
      <c r="N21" s="6">
        <v>1.0989466871543243</v>
      </c>
      <c r="O21" s="5" t="b">
        <v>1</v>
      </c>
      <c r="P21" s="3" t="s">
        <v>31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">
        <v>4</v>
      </c>
      <c r="B22" s="3" t="s">
        <v>30</v>
      </c>
      <c r="C22" s="3" t="s">
        <v>74</v>
      </c>
      <c r="D22" s="3" t="s">
        <v>94</v>
      </c>
      <c r="E22" s="3"/>
      <c r="F22" s="3" t="s">
        <v>76</v>
      </c>
      <c r="G22" s="4">
        <v>6.6027781595942923</v>
      </c>
      <c r="H22" s="4">
        <v>90.487059084755288</v>
      </c>
      <c r="I22" s="4">
        <v>0.88913723923763466</v>
      </c>
      <c r="J22" s="4">
        <v>1</v>
      </c>
      <c r="K22" s="6">
        <v>4.6140003617171805</v>
      </c>
      <c r="L22" s="5" t="b">
        <v>1</v>
      </c>
      <c r="M22" s="6">
        <v>-179.19783205452796</v>
      </c>
      <c r="N22" s="6">
        <v>0</v>
      </c>
      <c r="O22" s="5" t="b">
        <v>1</v>
      </c>
      <c r="P22" s="3" t="s">
        <v>97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">
        <v>4</v>
      </c>
      <c r="B23" s="3" t="s">
        <v>30</v>
      </c>
      <c r="C23" s="3" t="s">
        <v>74</v>
      </c>
      <c r="D23" s="3" t="s">
        <v>104</v>
      </c>
      <c r="E23" s="3"/>
      <c r="F23" s="3" t="s">
        <v>76</v>
      </c>
      <c r="G23" s="4">
        <v>3.4611974742689728</v>
      </c>
      <c r="H23" s="4">
        <v>87.75051674106615</v>
      </c>
      <c r="I23" s="4">
        <v>0.85864837312414566</v>
      </c>
      <c r="J23" s="4">
        <v>1</v>
      </c>
      <c r="K23" s="6">
        <v>3.9746195798251724</v>
      </c>
      <c r="L23" s="5" t="b">
        <v>1</v>
      </c>
      <c r="M23" s="6">
        <v>-177.086931715937</v>
      </c>
      <c r="N23" s="6">
        <v>2.1109003385909659</v>
      </c>
      <c r="O23" s="5" t="b">
        <v>1</v>
      </c>
      <c r="P23" s="3" t="s">
        <v>31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3">
        <v>4</v>
      </c>
      <c r="B24" s="3" t="s">
        <v>35</v>
      </c>
      <c r="C24" s="3" t="s">
        <v>89</v>
      </c>
      <c r="D24" s="3" t="s">
        <v>90</v>
      </c>
      <c r="E24" s="3" t="s">
        <v>82</v>
      </c>
      <c r="F24" s="3" t="s">
        <v>76</v>
      </c>
      <c r="G24" s="4">
        <v>24.753663355474096</v>
      </c>
      <c r="H24" s="4">
        <v>100.60652169531888</v>
      </c>
      <c r="I24" s="4">
        <v>0.97173789544025191</v>
      </c>
      <c r="J24" s="4">
        <v>1</v>
      </c>
      <c r="K24" s="6">
        <v>2.3164588929136558</v>
      </c>
      <c r="L24" s="5" t="b">
        <v>1</v>
      </c>
      <c r="M24" s="6">
        <v>-179.37160380112803</v>
      </c>
      <c r="N24" s="6">
        <v>0</v>
      </c>
      <c r="O24" s="5" t="b">
        <v>1</v>
      </c>
      <c r="P24" s="3" t="s">
        <v>31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">
        <v>4</v>
      </c>
      <c r="B25" s="3" t="s">
        <v>37</v>
      </c>
      <c r="C25" s="3" t="s">
        <v>85</v>
      </c>
      <c r="D25" s="3" t="s">
        <v>101</v>
      </c>
      <c r="E25" s="3"/>
      <c r="F25" s="3" t="s">
        <v>76</v>
      </c>
      <c r="G25" s="4">
        <v>44.952412508719057</v>
      </c>
      <c r="H25" s="4">
        <v>235.60974851321066</v>
      </c>
      <c r="I25" s="4">
        <v>0.37147886832071703</v>
      </c>
      <c r="J25" s="4">
        <v>1</v>
      </c>
      <c r="K25" s="6">
        <v>2.054394968477872</v>
      </c>
      <c r="L25" s="5" t="b">
        <v>1</v>
      </c>
      <c r="M25" s="6">
        <v>-174.44251008417856</v>
      </c>
      <c r="N25" s="6">
        <v>0.79336238016489347</v>
      </c>
      <c r="O25" s="5" t="b">
        <v>1</v>
      </c>
      <c r="P25" s="3" t="s">
        <v>31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">
        <v>4</v>
      </c>
      <c r="B26" s="3" t="s">
        <v>37</v>
      </c>
      <c r="C26" s="3" t="s">
        <v>91</v>
      </c>
      <c r="D26" s="3" t="s">
        <v>92</v>
      </c>
      <c r="E26" s="3"/>
      <c r="F26" s="3" t="s">
        <v>76</v>
      </c>
      <c r="G26" s="4">
        <v>44.875142546823234</v>
      </c>
      <c r="H26" s="4">
        <v>121.81980115243081</v>
      </c>
      <c r="I26" s="4">
        <v>0.96459887502241293</v>
      </c>
      <c r="J26" s="4">
        <v>1</v>
      </c>
      <c r="K26" s="6">
        <v>20.399721334744886</v>
      </c>
      <c r="L26" s="5" t="b">
        <v>1</v>
      </c>
      <c r="M26" s="6">
        <v>-175.23587246434346</v>
      </c>
      <c r="N26" s="6">
        <v>0</v>
      </c>
      <c r="O26" s="5" t="b">
        <v>1</v>
      </c>
      <c r="P26" s="3" t="s">
        <v>31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/>
  </sheetViews>
  <sheetFormatPr baseColWidth="10" defaultColWidth="8.83203125" defaultRowHeight="14"/>
  <cols>
    <col min="1" max="1" width="22" customWidth="1"/>
    <col min="2" max="2" width="48" customWidth="1"/>
    <col min="3" max="3" width="58" customWidth="1"/>
  </cols>
  <sheetData>
    <row r="1" spans="1:26" ht="22" customHeight="1">
      <c r="A1" s="10" t="s">
        <v>105</v>
      </c>
      <c r="B1" s="10"/>
      <c r="C1" s="10"/>
      <c r="D1" s="10"/>
      <c r="E1" s="10"/>
      <c r="F1" s="1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2" customHeight="1">
      <c r="A3" s="2" t="s">
        <v>106</v>
      </c>
      <c r="B3" s="2" t="s">
        <v>107</v>
      </c>
      <c r="C3" s="2" t="s">
        <v>108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3" customHeight="1">
      <c r="A4" s="3" t="s">
        <v>109</v>
      </c>
      <c r="B4" s="8" t="s">
        <v>110</v>
      </c>
      <c r="C4" s="8" t="s">
        <v>111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" customHeight="1">
      <c r="A5" s="3" t="s">
        <v>112</v>
      </c>
      <c r="B5" s="8" t="s">
        <v>113</v>
      </c>
      <c r="C5" s="8" t="s">
        <v>114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" customHeight="1">
      <c r="A6" s="3" t="s">
        <v>115</v>
      </c>
      <c r="B6" s="8" t="s">
        <v>116</v>
      </c>
      <c r="C6" s="8" t="s">
        <v>117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" customHeight="1">
      <c r="A7" s="3" t="s">
        <v>118</v>
      </c>
      <c r="B7" s="8" t="s">
        <v>119</v>
      </c>
      <c r="C7" s="8" t="s">
        <v>120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" customHeight="1">
      <c r="A8" s="3" t="s">
        <v>121</v>
      </c>
      <c r="B8" s="8" t="s">
        <v>122</v>
      </c>
      <c r="C8" s="8" t="s">
        <v>123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" customHeight="1">
      <c r="A9" s="3" t="s">
        <v>124</v>
      </c>
      <c r="B9" s="8" t="s">
        <v>125</v>
      </c>
      <c r="C9" s="8" t="s">
        <v>123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" customHeight="1">
      <c r="A10" s="3" t="s">
        <v>126</v>
      </c>
      <c r="B10" s="8" t="s">
        <v>127</v>
      </c>
      <c r="C10" s="8" t="s">
        <v>128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" customHeight="1">
      <c r="A11" s="3" t="s">
        <v>129</v>
      </c>
      <c r="B11" s="8" t="s">
        <v>130</v>
      </c>
      <c r="C11" s="8" t="s">
        <v>131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" customHeight="1">
      <c r="A12" s="3" t="s">
        <v>132</v>
      </c>
      <c r="B12" s="8" t="s">
        <v>133</v>
      </c>
      <c r="C12" s="8" t="s">
        <v>134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" customHeight="1">
      <c r="A13" s="3" t="s">
        <v>135</v>
      </c>
      <c r="B13" s="8" t="s">
        <v>136</v>
      </c>
      <c r="C13" s="8" t="s">
        <v>137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" customHeight="1">
      <c r="A14" s="3" t="s">
        <v>138</v>
      </c>
      <c r="B14" s="8" t="s">
        <v>139</v>
      </c>
      <c r="C14" s="8" t="s">
        <v>140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3" customHeight="1">
      <c r="A17" s="2" t="s">
        <v>141</v>
      </c>
      <c r="B17" s="2" t="s">
        <v>142</v>
      </c>
      <c r="C17" s="2" t="s">
        <v>143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3" customHeight="1">
      <c r="A18" s="3">
        <v>1</v>
      </c>
      <c r="B18" s="8" t="s">
        <v>144</v>
      </c>
      <c r="C18" s="8" t="s">
        <v>145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" customHeight="1">
      <c r="A19" s="3">
        <v>2</v>
      </c>
      <c r="B19" s="8" t="s">
        <v>146</v>
      </c>
      <c r="C19" s="8" t="s">
        <v>147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>
      <c r="A20" s="3">
        <v>3</v>
      </c>
      <c r="B20" s="8" t="s">
        <v>148</v>
      </c>
      <c r="C20" s="8" t="s">
        <v>149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" customHeight="1">
      <c r="A21" s="3">
        <v>4</v>
      </c>
      <c r="B21" s="8" t="s">
        <v>150</v>
      </c>
      <c r="C21" s="8" t="s">
        <v>151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3" customHeight="1">
      <c r="A22" s="3">
        <v>5</v>
      </c>
      <c r="B22" s="8" t="s">
        <v>152</v>
      </c>
      <c r="C22" s="8" t="s">
        <v>153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/>
  </sheetViews>
  <sheetFormatPr baseColWidth="10" defaultColWidth="8.83203125" defaultRowHeight="14"/>
  <cols>
    <col min="1" max="26" width="22" customWidth="1"/>
  </cols>
  <sheetData>
    <row r="1" spans="1:26" ht="32" customHeight="1">
      <c r="A1" s="2" t="s">
        <v>154</v>
      </c>
      <c r="B1" s="2" t="s">
        <v>155</v>
      </c>
      <c r="C1" s="2" t="s">
        <v>156</v>
      </c>
      <c r="D1" s="2" t="s">
        <v>157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84">
      <c r="A2" s="8">
        <v>2</v>
      </c>
      <c r="B2" s="8" t="s">
        <v>158</v>
      </c>
      <c r="C2" s="8" t="s">
        <v>159</v>
      </c>
      <c r="D2" s="8" t="s">
        <v>160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2">
      <c r="A3" s="8">
        <v>3</v>
      </c>
      <c r="B3" s="8" t="s">
        <v>161</v>
      </c>
      <c r="C3" s="8" t="s">
        <v>16</v>
      </c>
      <c r="D3" s="8" t="s">
        <v>162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42">
      <c r="A4" s="8">
        <v>4</v>
      </c>
      <c r="B4" s="8" t="s">
        <v>161</v>
      </c>
      <c r="C4" s="8" t="s">
        <v>17</v>
      </c>
      <c r="D4" s="8" t="s">
        <v>162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Waveform RMS</vt:lpstr>
      <vt:lpstr>LOO Robustness</vt:lpstr>
      <vt:lpstr>Station QC</vt:lpstr>
      <vt:lpstr>Workflow</vt:lpstr>
      <vt:lpstr>Run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Shi, Pengxu</cp:lastModifiedBy>
  <dcterms:modified xsi:type="dcterms:W3CDTF">2026-09-21T15:35:00Z</dcterms:modified>
</cp:coreProperties>
</file>